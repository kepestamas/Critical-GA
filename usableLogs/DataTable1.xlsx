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atok\Tudomanyos\Doktori\3. CNDP - Gasko Noemi\Prog\Tamas\Critical-GA\usableLogs\"/>
    </mc:Choice>
  </mc:AlternateContent>
  <xr:revisionPtr revIDLastSave="0" documentId="8_{290FC94E-1653-47F6-B3CB-CDCA04B80239}" xr6:coauthVersionLast="47" xr6:coauthVersionMax="47" xr10:uidLastSave="{00000000-0000-0000-0000-000000000000}"/>
  <bookViews>
    <workbookView xWindow="0" yWindow="390" windowWidth="28800" windowHeight="15555" xr2:uid="{081E11C1-8014-4C7D-B690-1A73852D3B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55" i="1" l="1"/>
  <c r="P55" i="1"/>
  <c r="M55" i="1"/>
  <c r="J55" i="1"/>
  <c r="G55" i="1"/>
  <c r="D55" i="1"/>
  <c r="S54" i="1"/>
  <c r="P54" i="1"/>
  <c r="M54" i="1"/>
  <c r="J54" i="1"/>
  <c r="G54" i="1"/>
  <c r="D54" i="1"/>
  <c r="S53" i="1"/>
  <c r="P53" i="1"/>
  <c r="M53" i="1"/>
  <c r="J53" i="1"/>
  <c r="G53" i="1"/>
  <c r="D53" i="1"/>
  <c r="S52" i="1"/>
  <c r="P52" i="1"/>
  <c r="M52" i="1"/>
  <c r="J52" i="1"/>
  <c r="G52" i="1"/>
  <c r="D52" i="1"/>
  <c r="S51" i="1"/>
  <c r="P51" i="1"/>
  <c r="M51" i="1"/>
  <c r="J51" i="1"/>
  <c r="G51" i="1"/>
  <c r="D51" i="1"/>
  <c r="S50" i="1"/>
  <c r="P50" i="1"/>
  <c r="M50" i="1"/>
  <c r="J50" i="1"/>
  <c r="G50" i="1"/>
  <c r="D50" i="1"/>
  <c r="S49" i="1"/>
  <c r="P49" i="1"/>
  <c r="M49" i="1"/>
  <c r="J49" i="1"/>
  <c r="G49" i="1"/>
  <c r="D49" i="1"/>
  <c r="S48" i="1"/>
  <c r="P48" i="1"/>
  <c r="M48" i="1"/>
  <c r="J48" i="1"/>
  <c r="G48" i="1"/>
  <c r="D48" i="1"/>
  <c r="S47" i="1"/>
  <c r="P47" i="1"/>
  <c r="M47" i="1"/>
  <c r="J47" i="1"/>
  <c r="G47" i="1"/>
  <c r="D47" i="1"/>
  <c r="S46" i="1"/>
  <c r="P46" i="1"/>
  <c r="M46" i="1"/>
  <c r="J46" i="1"/>
  <c r="G46" i="1"/>
  <c r="D46" i="1"/>
  <c r="S45" i="1"/>
  <c r="P45" i="1"/>
  <c r="M45" i="1"/>
  <c r="J45" i="1"/>
  <c r="G45" i="1"/>
  <c r="D45" i="1"/>
  <c r="S44" i="1"/>
  <c r="P44" i="1"/>
  <c r="M44" i="1"/>
  <c r="J44" i="1"/>
  <c r="G44" i="1"/>
  <c r="D44" i="1"/>
  <c r="S43" i="1"/>
  <c r="P43" i="1"/>
  <c r="M43" i="1"/>
  <c r="J43" i="1"/>
  <c r="G43" i="1"/>
  <c r="D43" i="1"/>
  <c r="S42" i="1"/>
  <c r="P42" i="1"/>
  <c r="M42" i="1"/>
  <c r="J42" i="1"/>
  <c r="G42" i="1"/>
  <c r="D42" i="1"/>
  <c r="S41" i="1"/>
  <c r="P41" i="1"/>
  <c r="M41" i="1"/>
  <c r="J41" i="1"/>
  <c r="G41" i="1"/>
  <c r="D41" i="1"/>
  <c r="S40" i="1"/>
  <c r="P40" i="1"/>
  <c r="M40" i="1"/>
  <c r="J40" i="1"/>
  <c r="G40" i="1"/>
  <c r="D40" i="1"/>
  <c r="S39" i="1"/>
  <c r="P39" i="1"/>
  <c r="M39" i="1"/>
  <c r="J39" i="1"/>
  <c r="G39" i="1"/>
  <c r="D39" i="1"/>
  <c r="S38" i="1"/>
  <c r="P38" i="1"/>
  <c r="M38" i="1"/>
  <c r="J38" i="1"/>
  <c r="G38" i="1"/>
  <c r="D38" i="1"/>
  <c r="S37" i="1"/>
  <c r="P37" i="1"/>
  <c r="M37" i="1"/>
  <c r="J37" i="1"/>
  <c r="G37" i="1"/>
  <c r="D37" i="1"/>
  <c r="S36" i="1"/>
  <c r="P36" i="1"/>
  <c r="M36" i="1"/>
  <c r="J36" i="1"/>
  <c r="G36" i="1"/>
  <c r="D36" i="1"/>
  <c r="S35" i="1"/>
  <c r="P35" i="1"/>
  <c r="M35" i="1"/>
  <c r="J35" i="1"/>
  <c r="G35" i="1"/>
  <c r="D35" i="1"/>
  <c r="S34" i="1"/>
  <c r="P34" i="1"/>
  <c r="M34" i="1"/>
  <c r="J34" i="1"/>
  <c r="G34" i="1"/>
  <c r="D34" i="1"/>
  <c r="S33" i="1"/>
  <c r="P33" i="1"/>
  <c r="M33" i="1"/>
  <c r="J33" i="1"/>
  <c r="G33" i="1"/>
  <c r="D33" i="1"/>
  <c r="S32" i="1"/>
  <c r="P32" i="1"/>
  <c r="M32" i="1"/>
  <c r="J32" i="1"/>
  <c r="G32" i="1"/>
  <c r="D32" i="1"/>
  <c r="S31" i="1"/>
  <c r="P31" i="1"/>
  <c r="M31" i="1"/>
  <c r="J31" i="1"/>
  <c r="G31" i="1"/>
  <c r="D31" i="1"/>
  <c r="S30" i="1"/>
  <c r="P30" i="1"/>
  <c r="M30" i="1"/>
  <c r="J30" i="1"/>
  <c r="G30" i="1"/>
  <c r="D30" i="1"/>
  <c r="S29" i="1"/>
  <c r="P29" i="1"/>
  <c r="M29" i="1"/>
  <c r="J29" i="1"/>
  <c r="G29" i="1"/>
  <c r="D29" i="1"/>
  <c r="S28" i="1"/>
  <c r="P28" i="1"/>
  <c r="M28" i="1"/>
  <c r="J28" i="1"/>
  <c r="G28" i="1"/>
  <c r="D28" i="1"/>
  <c r="S27" i="1"/>
  <c r="P27" i="1"/>
  <c r="M27" i="1"/>
  <c r="J27" i="1"/>
  <c r="G27" i="1"/>
  <c r="D27" i="1"/>
  <c r="S26" i="1"/>
  <c r="P26" i="1"/>
  <c r="M26" i="1"/>
  <c r="J26" i="1"/>
  <c r="G26" i="1"/>
  <c r="D26" i="1"/>
  <c r="S25" i="1"/>
  <c r="P25" i="1"/>
  <c r="M25" i="1"/>
  <c r="J25" i="1"/>
  <c r="G25" i="1"/>
  <c r="D25" i="1"/>
  <c r="S24" i="1"/>
  <c r="P24" i="1"/>
  <c r="M24" i="1"/>
  <c r="J24" i="1"/>
  <c r="G24" i="1"/>
  <c r="D24" i="1"/>
  <c r="S23" i="1"/>
  <c r="P23" i="1"/>
  <c r="M23" i="1"/>
  <c r="J23" i="1"/>
  <c r="G23" i="1"/>
  <c r="D23" i="1"/>
  <c r="S22" i="1"/>
  <c r="P22" i="1"/>
  <c r="M22" i="1"/>
  <c r="J22" i="1"/>
  <c r="G22" i="1"/>
  <c r="D22" i="1"/>
  <c r="S21" i="1"/>
  <c r="P21" i="1"/>
  <c r="M21" i="1"/>
  <c r="J21" i="1"/>
  <c r="G21" i="1"/>
  <c r="D21" i="1"/>
  <c r="S20" i="1"/>
  <c r="P20" i="1"/>
  <c r="M20" i="1"/>
  <c r="J20" i="1"/>
  <c r="G20" i="1"/>
  <c r="D20" i="1"/>
  <c r="S19" i="1"/>
  <c r="P19" i="1"/>
  <c r="M19" i="1"/>
  <c r="J19" i="1"/>
  <c r="G19" i="1"/>
  <c r="D19" i="1"/>
  <c r="S18" i="1"/>
  <c r="P18" i="1"/>
  <c r="M18" i="1"/>
  <c r="J18" i="1"/>
  <c r="G18" i="1"/>
  <c r="D18" i="1"/>
  <c r="S17" i="1"/>
  <c r="P17" i="1"/>
  <c r="M17" i="1"/>
  <c r="J17" i="1"/>
  <c r="G17" i="1"/>
  <c r="D17" i="1"/>
  <c r="S16" i="1"/>
  <c r="P16" i="1"/>
  <c r="M16" i="1"/>
  <c r="J16" i="1"/>
  <c r="G16" i="1"/>
  <c r="D16" i="1"/>
  <c r="S15" i="1"/>
  <c r="P15" i="1"/>
  <c r="M15" i="1"/>
  <c r="J15" i="1"/>
  <c r="G15" i="1"/>
  <c r="D15" i="1"/>
  <c r="S14" i="1"/>
  <c r="P14" i="1"/>
  <c r="M14" i="1"/>
  <c r="J14" i="1"/>
  <c r="G14" i="1"/>
  <c r="D14" i="1"/>
  <c r="S13" i="1"/>
  <c r="P13" i="1"/>
  <c r="M13" i="1"/>
  <c r="J13" i="1"/>
  <c r="G13" i="1"/>
  <c r="D13" i="1"/>
  <c r="S12" i="1"/>
  <c r="P12" i="1"/>
  <c r="M12" i="1"/>
  <c r="J12" i="1"/>
  <c r="G12" i="1"/>
  <c r="D12" i="1"/>
  <c r="S11" i="1"/>
  <c r="P11" i="1"/>
  <c r="M11" i="1"/>
  <c r="J11" i="1"/>
  <c r="G11" i="1"/>
  <c r="D11" i="1"/>
  <c r="S10" i="1"/>
  <c r="P10" i="1"/>
  <c r="M10" i="1"/>
  <c r="J10" i="1"/>
  <c r="G10" i="1"/>
  <c r="D10" i="1"/>
  <c r="S9" i="1"/>
  <c r="P9" i="1"/>
  <c r="M9" i="1"/>
  <c r="J9" i="1"/>
  <c r="G9" i="1"/>
  <c r="D9" i="1"/>
  <c r="S8" i="1"/>
  <c r="P8" i="1"/>
  <c r="M8" i="1"/>
  <c r="J8" i="1"/>
  <c r="G8" i="1"/>
  <c r="D8" i="1"/>
  <c r="S7" i="1"/>
  <c r="P7" i="1"/>
  <c r="M7" i="1"/>
  <c r="J7" i="1"/>
  <c r="G7" i="1"/>
  <c r="D7" i="1"/>
  <c r="S6" i="1"/>
  <c r="P6" i="1"/>
  <c r="M6" i="1"/>
  <c r="J6" i="1"/>
  <c r="G6" i="1"/>
  <c r="D6" i="1"/>
  <c r="S5" i="1"/>
  <c r="P5" i="1"/>
  <c r="M5" i="1"/>
  <c r="J5" i="1"/>
  <c r="G5" i="1"/>
  <c r="D5" i="1"/>
  <c r="S4" i="1"/>
  <c r="P4" i="1"/>
  <c r="M4" i="1"/>
  <c r="J4" i="1"/>
  <c r="G4" i="1"/>
  <c r="D4" i="1"/>
</calcChain>
</file>

<file path=xl/sharedStrings.xml><?xml version="1.0" encoding="utf-8"?>
<sst xmlns="http://schemas.openxmlformats.org/spreadsheetml/2006/main" count="74" uniqueCount="64">
  <si>
    <t>Network</t>
  </si>
  <si>
    <t>components</t>
  </si>
  <si>
    <t>largest</t>
  </si>
  <si>
    <t>pairwise</t>
  </si>
  <si>
    <t>Avg</t>
  </si>
  <si>
    <t>StdDevP</t>
  </si>
  <si>
    <t>XC1</t>
  </si>
  <si>
    <t>XC2</t>
  </si>
  <si>
    <t>XL1</t>
  </si>
  <si>
    <t>XL2</t>
  </si>
  <si>
    <t>XP1</t>
  </si>
  <si>
    <t>XP2</t>
  </si>
  <si>
    <t>cor_adjnoun-w.txt</t>
  </si>
  <si>
    <t>cor_celegans_metabolic-w.txt</t>
  </si>
  <si>
    <t>cor_celegansneural-w.txt</t>
  </si>
  <si>
    <t>cor_dolphins-w.txt</t>
  </si>
  <si>
    <t>cor_football-w.txt</t>
  </si>
  <si>
    <t>cor_jazz-w.txt</t>
  </si>
  <si>
    <t>cor_karate-w.txt</t>
  </si>
  <si>
    <t>cor_lesmis-w.txt</t>
  </si>
  <si>
    <t>cor_n050plai01.txt</t>
  </si>
  <si>
    <t>cor_n100plai01.txt</t>
  </si>
  <si>
    <t>cor_n150plai01.txt</t>
  </si>
  <si>
    <t>cor_n200plai01.txt</t>
  </si>
  <si>
    <t>cor_n250plai01.txt</t>
  </si>
  <si>
    <t>cor_n300plai01.txt</t>
  </si>
  <si>
    <t>cor_n350plai01.txt</t>
  </si>
  <si>
    <t>cor_polbooks-w.txt</t>
  </si>
  <si>
    <t>hos_20_r1_1.txt</t>
  </si>
  <si>
    <t>hos_20_r2_1.txt</t>
  </si>
  <si>
    <t>hos_25_r1_1.txt</t>
  </si>
  <si>
    <t>hos_25_r2_1.txt</t>
  </si>
  <si>
    <t>hos_30_r1_1.txt</t>
  </si>
  <si>
    <t>hos_30_r2_1.txt</t>
  </si>
  <si>
    <t>hos_35_r1_1.txt</t>
  </si>
  <si>
    <t>hos_35_r2_1.txt</t>
  </si>
  <si>
    <t>hos_40_r1_1.txt</t>
  </si>
  <si>
    <t>hos_40_r2_1.txt</t>
  </si>
  <si>
    <t>hos_45_r1_1.txt</t>
  </si>
  <si>
    <t>hos_45_r2_1.txt</t>
  </si>
  <si>
    <t>hos_50_r1_1.txt</t>
  </si>
  <si>
    <t>hos_50_r2_1.txt</t>
  </si>
  <si>
    <t>mac_grafo10dens30.txt</t>
  </si>
  <si>
    <t>mac_grafo11dens30.txt</t>
  </si>
  <si>
    <t>mac_grafo12dens30.txt</t>
  </si>
  <si>
    <t>mac_grafo13dens30.txt</t>
  </si>
  <si>
    <t>mac_grafo14dens30.txt</t>
  </si>
  <si>
    <t>mac_grafo15dens30.txt</t>
  </si>
  <si>
    <t>mac_grafo16dens30.txt</t>
  </si>
  <si>
    <t>mac_grafo17dens30.txt</t>
  </si>
  <si>
    <t>mac_grafo18dens30.txt</t>
  </si>
  <si>
    <t>mac_grafo19dens30.txt</t>
  </si>
  <si>
    <t>mac_grafo20dens30.txt</t>
  </si>
  <si>
    <t>mac_grafo21dens30.txt</t>
  </si>
  <si>
    <t>mac_grafo22dens30.txt</t>
  </si>
  <si>
    <t>mac_grafo23dens30.txt</t>
  </si>
  <si>
    <t>mac_grafo24dens30.txt</t>
  </si>
  <si>
    <t>mac_grafo25dens30.txt</t>
  </si>
  <si>
    <t>mac_grafo26dens30.txt</t>
  </si>
  <si>
    <t>mac_grafo27dens30.txt</t>
  </si>
  <si>
    <t>mac_grafo28dens30.txt</t>
  </si>
  <si>
    <t>mac_grafo29dens30.txt</t>
  </si>
  <si>
    <t>mac_grafo30dens30.txt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</si>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</sst>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3A8E1-F87D-4094-8DC2-320BA37A7561}">
  <dimension ref="A1:S55"/>
  <sheetViews>
    <sheetView tabSelected="1" workbookViewId="0">
      <selection sqref="A1:S55"/>
    </sheetView>
  </sheetViews>
  <sheetFormatPr defaultRowHeight="15" x14ac:dyDescent="0.25"/>
  <sheetData>
    <row r="1" spans="1:19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 t="s">
        <v>2</v>
      </c>
      <c r="I1" s="2"/>
      <c r="J1" s="2"/>
      <c r="K1" s="2"/>
      <c r="L1" s="2"/>
      <c r="M1" s="2"/>
      <c r="N1" s="2" t="s">
        <v>3</v>
      </c>
      <c r="O1" s="2"/>
      <c r="P1" s="2"/>
      <c r="Q1" s="2"/>
      <c r="R1" s="2"/>
      <c r="S1" s="2"/>
    </row>
    <row r="2" spans="1:19" x14ac:dyDescent="0.25">
      <c r="A2" s="1"/>
      <c r="B2" s="2">
        <v>0.05</v>
      </c>
      <c r="C2" s="2"/>
      <c r="D2" s="2"/>
      <c r="E2" s="2">
        <v>1</v>
      </c>
      <c r="F2" s="2"/>
      <c r="G2" s="2"/>
      <c r="H2" s="2">
        <v>0.05</v>
      </c>
      <c r="I2" s="2"/>
      <c r="J2" s="2"/>
      <c r="K2" s="2">
        <v>1</v>
      </c>
      <c r="L2" s="2"/>
      <c r="M2" s="2"/>
      <c r="N2" s="2">
        <v>0.05</v>
      </c>
      <c r="O2" s="2"/>
      <c r="P2" s="2"/>
      <c r="Q2" s="2">
        <v>1</v>
      </c>
      <c r="R2" s="2"/>
      <c r="S2" s="2"/>
    </row>
    <row r="3" spans="1:19" x14ac:dyDescent="0.25">
      <c r="A3" s="1"/>
      <c r="B3" t="s">
        <v>4</v>
      </c>
      <c r="C3" t="s">
        <v>5</v>
      </c>
      <c r="D3" t="s">
        <v>6</v>
      </c>
      <c r="E3" t="s">
        <v>4</v>
      </c>
      <c r="F3" t="s">
        <v>5</v>
      </c>
      <c r="G3" t="s">
        <v>7</v>
      </c>
      <c r="H3" t="s">
        <v>4</v>
      </c>
      <c r="I3" t="s">
        <v>5</v>
      </c>
      <c r="J3" t="s">
        <v>8</v>
      </c>
      <c r="K3" t="s">
        <v>4</v>
      </c>
      <c r="L3" t="s">
        <v>5</v>
      </c>
      <c r="M3" t="s">
        <v>9</v>
      </c>
      <c r="N3" t="s">
        <v>4</v>
      </c>
      <c r="O3" t="s">
        <v>5</v>
      </c>
      <c r="P3" t="s">
        <v>10</v>
      </c>
      <c r="Q3" t="s">
        <v>4</v>
      </c>
      <c r="R3" t="s">
        <v>5</v>
      </c>
      <c r="S3" t="s">
        <v>11</v>
      </c>
    </row>
    <row r="4" spans="1:19" x14ac:dyDescent="0.25">
      <c r="A4" t="s">
        <v>12</v>
      </c>
      <c r="B4" s="3">
        <v>12.5</v>
      </c>
      <c r="C4" s="3">
        <v>1.0246950765959599</v>
      </c>
      <c r="D4" s="3" t="str">
        <f>ROUND(B4,2) &amp; " ± " &amp; ROUND(C4,2)</f>
        <v>12.5 ± 1.02</v>
      </c>
      <c r="E4" s="3">
        <v>12</v>
      </c>
      <c r="F4" s="3">
        <v>1.3416407864998738</v>
      </c>
      <c r="G4" s="3" t="str">
        <f>ROUND(E4,2) &amp; " ± " &amp; ROUND(F4,2)</f>
        <v>12 ± 1.34</v>
      </c>
      <c r="H4" s="3">
        <v>95.4</v>
      </c>
      <c r="I4" s="3">
        <v>0.91651513899116799</v>
      </c>
      <c r="J4" s="3" t="str">
        <f>ROUND(H4,2) &amp; " ± " &amp; ROUND(I4,2)</f>
        <v>95.4 ± 0.92</v>
      </c>
      <c r="K4" s="3">
        <v>95.9</v>
      </c>
      <c r="L4" s="3">
        <v>1.374772708486752</v>
      </c>
      <c r="M4" s="3" t="str">
        <f>ROUND(K4,2) &amp; " ± " &amp; ROUND(L4,2)</f>
        <v>95.9 ± 1.37</v>
      </c>
      <c r="N4" s="3">
        <v>4570</v>
      </c>
      <c r="O4" s="3">
        <v>89.783071901110617</v>
      </c>
      <c r="P4" s="3" t="str">
        <f>ROUND(N4,2) &amp; " ± " &amp; ROUND(O4,2)</f>
        <v>4570 ± 89.78</v>
      </c>
      <c r="Q4" s="3">
        <v>4570.5</v>
      </c>
      <c r="R4" s="3">
        <v>131.91758791002812</v>
      </c>
      <c r="S4" s="3" t="str">
        <f>ROUND(Q4,2) &amp; " ± " &amp; ROUND(R4,2)</f>
        <v>4570.5 ± 131.92</v>
      </c>
    </row>
    <row r="5" spans="1:19" x14ac:dyDescent="0.25">
      <c r="A5" t="s">
        <v>13</v>
      </c>
      <c r="B5" s="3">
        <v>19</v>
      </c>
      <c r="C5" s="3">
        <v>5.5136195008360884</v>
      </c>
      <c r="D5" s="3" t="str">
        <f>ROUND(B5,2) &amp; " ± " &amp; ROUND(C5,2)</f>
        <v>19 ± 5.51</v>
      </c>
      <c r="E5" s="3">
        <v>23.3</v>
      </c>
      <c r="F5" s="3">
        <v>4.3829214001622256</v>
      </c>
      <c r="G5" s="3" t="str">
        <f>ROUND(E5,2) &amp; " ± " &amp; ROUND(F5,2)</f>
        <v>23.3 ± 4.38</v>
      </c>
      <c r="H5" s="3">
        <v>385.2</v>
      </c>
      <c r="I5" s="3">
        <v>10.380751417888785</v>
      </c>
      <c r="J5" s="3" t="str">
        <f>ROUND(H5,2) &amp; " ± " &amp; ROUND(I5,2)</f>
        <v>385.2 ± 10.38</v>
      </c>
      <c r="K5" s="3">
        <v>386.7</v>
      </c>
      <c r="L5" s="3">
        <v>8.7641314458421942</v>
      </c>
      <c r="M5" s="3" t="str">
        <f>ROUND(K5,2) &amp; " ± " &amp; ROUND(L5,2)</f>
        <v>386.7 ± 8.76</v>
      </c>
      <c r="N5" s="3">
        <v>76483.3</v>
      </c>
      <c r="O5" s="3">
        <v>3536.919225823513</v>
      </c>
      <c r="P5" s="3" t="str">
        <f>ROUND(N5,2) &amp; " ± " &amp; ROUND(O5,2)</f>
        <v>76483.3 ± 3536.92</v>
      </c>
      <c r="Q5" s="3">
        <v>75361.2</v>
      </c>
      <c r="R5" s="3">
        <v>3593.5413118538099</v>
      </c>
      <c r="S5" s="3" t="str">
        <f>ROUND(Q5,2) &amp; " ± " &amp; ROUND(R5,2)</f>
        <v>75361.2 ± 3593.54</v>
      </c>
    </row>
    <row r="6" spans="1:19" x14ac:dyDescent="0.25">
      <c r="A6" t="s">
        <v>14</v>
      </c>
      <c r="B6" s="3">
        <v>16.399999999999999</v>
      </c>
      <c r="C6" s="3">
        <v>2.6153393661244042</v>
      </c>
      <c r="D6" s="3" t="str">
        <f>ROUND(B6,2) &amp; " ± " &amp; ROUND(C6,2)</f>
        <v>16.4 ± 2.62</v>
      </c>
      <c r="E6" s="3">
        <v>17.600000000000001</v>
      </c>
      <c r="F6" s="3">
        <v>1.8</v>
      </c>
      <c r="G6" s="3" t="str">
        <f>ROUND(E6,2) &amp; " ± " &amp; ROUND(F6,2)</f>
        <v>17.6 ± 1.8</v>
      </c>
      <c r="H6" s="3">
        <v>266.8</v>
      </c>
      <c r="I6" s="3">
        <v>1.6</v>
      </c>
      <c r="J6" s="3" t="str">
        <f>ROUND(H6,2) &amp; " ± " &amp; ROUND(I6,2)</f>
        <v>266.8 ± 1.6</v>
      </c>
      <c r="K6" s="3">
        <v>268.8</v>
      </c>
      <c r="L6" s="3">
        <v>3.6276714294434109</v>
      </c>
      <c r="M6" s="3" t="str">
        <f>ROUND(K6,2) &amp; " ± " &amp; ROUND(L6,2)</f>
        <v>268.8 ± 3.63</v>
      </c>
      <c r="N6" s="3">
        <v>35728.199999999997</v>
      </c>
      <c r="O6" s="3">
        <v>728.27231170764696</v>
      </c>
      <c r="P6" s="3" t="str">
        <f>ROUND(N6,2) &amp; " ± " &amp; ROUND(O6,2)</f>
        <v>35728.2 ± 728.27</v>
      </c>
      <c r="Q6" s="3">
        <v>35648.300000000003</v>
      </c>
      <c r="R6" s="3">
        <v>751.51048562212361</v>
      </c>
      <c r="S6" s="3" t="str">
        <f>ROUND(Q6,2) &amp; " ± " &amp; ROUND(R6,2)</f>
        <v>35648.3 ± 751.51</v>
      </c>
    </row>
    <row r="7" spans="1:19" x14ac:dyDescent="0.25">
      <c r="A7" t="s">
        <v>15</v>
      </c>
      <c r="B7" s="3">
        <v>8.9</v>
      </c>
      <c r="C7" s="3">
        <v>0.53851648071345037</v>
      </c>
      <c r="D7" s="3" t="str">
        <f>ROUND(B7,2) &amp; " ± " &amp; ROUND(C7,2)</f>
        <v>8.9 ± 0.54</v>
      </c>
      <c r="E7" s="3">
        <v>8.1999999999999993</v>
      </c>
      <c r="F7" s="3">
        <v>0.9797958971132712</v>
      </c>
      <c r="G7" s="3" t="str">
        <f>ROUND(E7,2) &amp; " ± " &amp; ROUND(F7,2)</f>
        <v>8.2 ± 0.98</v>
      </c>
      <c r="H7" s="3">
        <v>51.6</v>
      </c>
      <c r="I7" s="3">
        <v>0.4898979485566356</v>
      </c>
      <c r="J7" s="3" t="str">
        <f>ROUND(H7,2) &amp; " ± " &amp; ROUND(I7,2)</f>
        <v>51.6 ± 0.49</v>
      </c>
      <c r="K7" s="3">
        <v>50.7</v>
      </c>
      <c r="L7" s="3">
        <v>0.6403124237432849</v>
      </c>
      <c r="M7" s="3" t="str">
        <f>ROUND(K7,2) &amp; " ± " &amp; ROUND(L7,2)</f>
        <v>50.7 ± 0.64</v>
      </c>
      <c r="N7" s="3">
        <v>1300.7</v>
      </c>
      <c r="O7" s="3">
        <v>41.11946011318728</v>
      </c>
      <c r="P7" s="3" t="str">
        <f>ROUND(N7,2) &amp; " ± " &amp; ROUND(O7,2)</f>
        <v>1300.7 ± 41.12</v>
      </c>
      <c r="Q7" s="3">
        <v>1255.2</v>
      </c>
      <c r="R7" s="3">
        <v>40.350464681339176</v>
      </c>
      <c r="S7" s="3" t="str">
        <f>ROUND(Q7,2) &amp; " ± " &amp; ROUND(R7,2)</f>
        <v>1255.2 ± 40.35</v>
      </c>
    </row>
    <row r="8" spans="1:19" x14ac:dyDescent="0.25">
      <c r="A8" t="s">
        <v>16</v>
      </c>
      <c r="B8" s="3">
        <v>1</v>
      </c>
      <c r="C8" s="3">
        <v>0</v>
      </c>
      <c r="D8" s="3" t="str">
        <f>ROUND(B8,2) &amp; " ± " &amp; ROUND(C8,2)</f>
        <v>1 ± 0</v>
      </c>
      <c r="E8" s="3">
        <v>1</v>
      </c>
      <c r="F8" s="3">
        <v>0</v>
      </c>
      <c r="G8" s="3" t="str">
        <f>ROUND(E8,2) &amp; " ± " &amp; ROUND(F8,2)</f>
        <v>1 ± 0</v>
      </c>
      <c r="H8" s="3">
        <v>110</v>
      </c>
      <c r="I8" s="3">
        <v>0</v>
      </c>
      <c r="J8" s="3" t="str">
        <f>ROUND(H8,2) &amp; " ± " &amp; ROUND(I8,2)</f>
        <v>110 ± 0</v>
      </c>
      <c r="K8" s="3">
        <v>110</v>
      </c>
      <c r="L8" s="3">
        <v>0</v>
      </c>
      <c r="M8" s="3" t="str">
        <f>ROUND(K8,2) &amp; " ± " &amp; ROUND(L8,2)</f>
        <v>110 ± 0</v>
      </c>
      <c r="N8" s="3">
        <v>5995</v>
      </c>
      <c r="O8" s="3">
        <v>0</v>
      </c>
      <c r="P8" s="3" t="str">
        <f>ROUND(N8,2) &amp; " ± " &amp; ROUND(O8,2)</f>
        <v>5995 ± 0</v>
      </c>
      <c r="Q8" s="3">
        <v>5995</v>
      </c>
      <c r="R8" s="3">
        <v>0</v>
      </c>
      <c r="S8" s="3" t="str">
        <f>ROUND(Q8,2) &amp; " ± " &amp; ROUND(R8,2)</f>
        <v>5995 ± 0</v>
      </c>
    </row>
    <row r="9" spans="1:19" x14ac:dyDescent="0.25">
      <c r="A9" t="s">
        <v>17</v>
      </c>
      <c r="B9" s="3">
        <v>7.5</v>
      </c>
      <c r="C9" s="3">
        <v>1.1180339887498949</v>
      </c>
      <c r="D9" s="3" t="str">
        <f>ROUND(B9,2) &amp; " ± " &amp; ROUND(C9,2)</f>
        <v>7.5 ± 1.12</v>
      </c>
      <c r="E9" s="3">
        <v>6.8</v>
      </c>
      <c r="F9" s="3">
        <v>1.0770329614269007</v>
      </c>
      <c r="G9" s="3" t="str">
        <f>ROUND(E9,2) &amp; " ± " &amp; ROUND(F9,2)</f>
        <v>6.8 ± 1.08</v>
      </c>
      <c r="H9" s="3">
        <v>182</v>
      </c>
      <c r="I9" s="3">
        <v>1.5491933384829668</v>
      </c>
      <c r="J9" s="3" t="str">
        <f>ROUND(H9,2) &amp; " ± " &amp; ROUND(I9,2)</f>
        <v>182 ± 1.55</v>
      </c>
      <c r="K9" s="3">
        <v>182</v>
      </c>
      <c r="L9" s="3">
        <v>1.61245154965971</v>
      </c>
      <c r="M9" s="3" t="str">
        <f>ROUND(K9,2) &amp; " ± " &amp; ROUND(L9,2)</f>
        <v>182 ± 1.61</v>
      </c>
      <c r="N9" s="3">
        <v>16508.7</v>
      </c>
      <c r="O9" s="3">
        <v>210.82554399313193</v>
      </c>
      <c r="P9" s="3" t="str">
        <f>ROUND(N9,2) &amp; " ± " &amp; ROUND(O9,2)</f>
        <v>16508.7 ± 210.83</v>
      </c>
      <c r="Q9" s="3">
        <v>16455.2</v>
      </c>
      <c r="R9" s="3">
        <v>295.60236805546737</v>
      </c>
      <c r="S9" s="3" t="str">
        <f>ROUND(Q9,2) &amp; " ± " &amp; ROUND(R9,2)</f>
        <v>16455.2 ± 295.6</v>
      </c>
    </row>
    <row r="10" spans="1:19" x14ac:dyDescent="0.25">
      <c r="A10" t="s">
        <v>18</v>
      </c>
      <c r="B10" s="3">
        <v>3.6</v>
      </c>
      <c r="C10" s="3">
        <v>0.66332495807107994</v>
      </c>
      <c r="D10" s="3" t="str">
        <f>ROUND(B10,2) &amp; " ± " &amp; ROUND(C10,2)</f>
        <v>3.6 ± 0.66</v>
      </c>
      <c r="E10" s="3">
        <v>3.8</v>
      </c>
      <c r="F10" s="3">
        <v>0.9797958971132712</v>
      </c>
      <c r="G10" s="3" t="str">
        <f>ROUND(E10,2) &amp; " ± " &amp; ROUND(F10,2)</f>
        <v>3.8 ± 0.98</v>
      </c>
      <c r="H10" s="3">
        <v>26.1</v>
      </c>
      <c r="I10" s="3">
        <v>0.53851648071345037</v>
      </c>
      <c r="J10" s="3" t="str">
        <f>ROUND(H10,2) &amp; " ± " &amp; ROUND(I10,2)</f>
        <v>26.1 ± 0.54</v>
      </c>
      <c r="K10" s="3">
        <v>28</v>
      </c>
      <c r="L10" s="3">
        <v>2.4899799195977463</v>
      </c>
      <c r="M10" s="3" t="str">
        <f>ROUND(K10,2) &amp; " ± " &amp; ROUND(L10,2)</f>
        <v>28 ± 2.49</v>
      </c>
      <c r="N10" s="3">
        <v>353.2</v>
      </c>
      <c r="O10" s="3">
        <v>38.651778743028117</v>
      </c>
      <c r="P10" s="3" t="str">
        <f>ROUND(N10,2) &amp; " ± " &amp; ROUND(O10,2)</f>
        <v>353.2 ± 38.65</v>
      </c>
      <c r="Q10" s="3">
        <v>376.8</v>
      </c>
      <c r="R10" s="3">
        <v>60.419864283197455</v>
      </c>
      <c r="S10" s="3" t="str">
        <f>ROUND(Q10,2) &amp; " ± " &amp; ROUND(R10,2)</f>
        <v>376.8 ± 60.42</v>
      </c>
    </row>
    <row r="11" spans="1:19" x14ac:dyDescent="0.25">
      <c r="A11" t="s">
        <v>19</v>
      </c>
      <c r="B11" s="3">
        <v>18</v>
      </c>
      <c r="C11" s="3">
        <v>1.5491933384829668</v>
      </c>
      <c r="D11" s="3" t="str">
        <f>ROUND(B11,2) &amp; " ± " &amp; ROUND(C11,2)</f>
        <v>18 ± 1.55</v>
      </c>
      <c r="E11" s="3">
        <v>18</v>
      </c>
      <c r="F11" s="3">
        <v>1.8973665961010275</v>
      </c>
      <c r="G11" s="3" t="str">
        <f>ROUND(E11,2) &amp; " ± " &amp; ROUND(F11,2)</f>
        <v>18 ± 1.9</v>
      </c>
      <c r="H11" s="3">
        <v>48.9</v>
      </c>
      <c r="I11" s="3">
        <v>1.972308292331602</v>
      </c>
      <c r="J11" s="3" t="str">
        <f>ROUND(H11,2) &amp; " ± " &amp; ROUND(I11,2)</f>
        <v>48.9 ± 1.97</v>
      </c>
      <c r="K11" s="3">
        <v>50.4</v>
      </c>
      <c r="L11" s="3">
        <v>2.3748684174075834</v>
      </c>
      <c r="M11" s="3" t="str">
        <f>ROUND(K11,2) &amp; " ± " &amp; ROUND(L11,2)</f>
        <v>50.4 ± 2.37</v>
      </c>
      <c r="N11" s="3">
        <v>1240.3</v>
      </c>
      <c r="O11" s="3">
        <v>169.25309450642254</v>
      </c>
      <c r="P11" s="3" t="str">
        <f>ROUND(N11,2) &amp; " ± " &amp; ROUND(O11,2)</f>
        <v>1240.3 ± 169.25</v>
      </c>
      <c r="Q11" s="3">
        <v>1255.7</v>
      </c>
      <c r="R11" s="3">
        <v>205.000999997561</v>
      </c>
      <c r="S11" s="3" t="str">
        <f>ROUND(Q11,2) &amp; " ± " &amp; ROUND(R11,2)</f>
        <v>1255.7 ± 205</v>
      </c>
    </row>
    <row r="12" spans="1:19" x14ac:dyDescent="0.25">
      <c r="A12" t="s">
        <v>20</v>
      </c>
      <c r="B12" s="3">
        <v>2.2000000000000002</v>
      </c>
      <c r="C12" s="3">
        <v>0.4</v>
      </c>
      <c r="D12" s="3" t="str">
        <f>ROUND(B12,2) &amp; " ± " &amp; ROUND(C12,2)</f>
        <v>2.2 ± 0.4</v>
      </c>
      <c r="E12" s="3">
        <v>1.8</v>
      </c>
      <c r="F12" s="3">
        <v>0.4</v>
      </c>
      <c r="G12" s="3" t="str">
        <f>ROUND(E12,2) &amp; " ± " &amp; ROUND(F12,2)</f>
        <v>1.8 ± 0.4</v>
      </c>
      <c r="H12" s="3">
        <v>47.2</v>
      </c>
      <c r="I12" s="3">
        <v>0.6</v>
      </c>
      <c r="J12" s="3" t="str">
        <f>ROUND(H12,2) &amp; " ± " &amp; ROUND(I12,2)</f>
        <v>47.2 ± 0.6</v>
      </c>
      <c r="K12" s="3">
        <v>46.9</v>
      </c>
      <c r="L12" s="3">
        <v>0.3</v>
      </c>
      <c r="M12" s="3" t="str">
        <f>ROUND(K12,2) &amp; " ± " &amp; ROUND(L12,2)</f>
        <v>46.9 ± 0.3</v>
      </c>
      <c r="N12" s="3">
        <v>1090.5</v>
      </c>
      <c r="O12" s="3">
        <v>28.000892842907707</v>
      </c>
      <c r="P12" s="3" t="str">
        <f>ROUND(N12,2) &amp; " ± " &amp; ROUND(O12,2)</f>
        <v>1090.5 ± 28</v>
      </c>
      <c r="Q12" s="3">
        <v>1099.8</v>
      </c>
      <c r="R12" s="3">
        <v>23.025203582161872</v>
      </c>
      <c r="S12" s="3" t="str">
        <f>ROUND(Q12,2) &amp; " ± " &amp; ROUND(R12,2)</f>
        <v>1099.8 ± 23.03</v>
      </c>
    </row>
    <row r="13" spans="1:19" x14ac:dyDescent="0.25">
      <c r="A13" t="s">
        <v>21</v>
      </c>
      <c r="B13" s="3">
        <v>1.9</v>
      </c>
      <c r="C13" s="3">
        <v>0.53851648071345037</v>
      </c>
      <c r="D13" s="3" t="str">
        <f>ROUND(B13,2) &amp; " ± " &amp; ROUND(C13,2)</f>
        <v>1.9 ± 0.54</v>
      </c>
      <c r="E13" s="3">
        <v>2.4</v>
      </c>
      <c r="F13" s="3">
        <v>0.4898979485566356</v>
      </c>
      <c r="G13" s="3" t="str">
        <f>ROUND(E13,2) &amp; " ± " &amp; ROUND(F13,2)</f>
        <v>2.4 ± 0.49</v>
      </c>
      <c r="H13" s="3">
        <v>93.5</v>
      </c>
      <c r="I13" s="3">
        <v>0.67082039324993692</v>
      </c>
      <c r="J13" s="3" t="str">
        <f>ROUND(H13,2) &amp; " ± " &amp; ROUND(I13,2)</f>
        <v>93.5 ± 0.67</v>
      </c>
      <c r="K13" s="3">
        <v>93.5</v>
      </c>
      <c r="L13" s="3">
        <v>0.80622577482985502</v>
      </c>
      <c r="M13" s="3" t="str">
        <f>ROUND(K13,2) &amp; " ± " &amp; ROUND(L13,2)</f>
        <v>93.5 ± 0.81</v>
      </c>
      <c r="N13" s="3">
        <v>4334.3</v>
      </c>
      <c r="O13" s="3">
        <v>73.782179420236702</v>
      </c>
      <c r="P13" s="3" t="str">
        <f>ROUND(N13,2) &amp; " ± " &amp; ROUND(O13,2)</f>
        <v>4334.3 ± 73.78</v>
      </c>
      <c r="Q13" s="3">
        <v>4325.3999999999996</v>
      </c>
      <c r="R13" s="3">
        <v>83.309303201983383</v>
      </c>
      <c r="S13" s="3" t="str">
        <f>ROUND(Q13,2) &amp; " ± " &amp; ROUND(R13,2)</f>
        <v>4325.4 ± 83.31</v>
      </c>
    </row>
    <row r="14" spans="1:19" x14ac:dyDescent="0.25">
      <c r="A14" t="s">
        <v>22</v>
      </c>
      <c r="B14" s="3">
        <v>2.9</v>
      </c>
      <c r="C14" s="3">
        <v>0.53851648071345037</v>
      </c>
      <c r="D14" s="3" t="str">
        <f>ROUND(B14,2) &amp; " ± " &amp; ROUND(C14,2)</f>
        <v>2.9 ± 0.54</v>
      </c>
      <c r="E14" s="3">
        <v>2.9</v>
      </c>
      <c r="F14" s="3">
        <v>0.53851648071345037</v>
      </c>
      <c r="G14" s="3" t="str">
        <f>ROUND(E14,2) &amp; " ± " &amp; ROUND(F14,2)</f>
        <v>2.9 ± 0.54</v>
      </c>
      <c r="H14" s="3">
        <v>140.9</v>
      </c>
      <c r="I14" s="3">
        <v>1.0440306508910551</v>
      </c>
      <c r="J14" s="3" t="str">
        <f>ROUND(H14,2) &amp; " ± " &amp; ROUND(I14,2)</f>
        <v>140.9 ± 1.04</v>
      </c>
      <c r="K14" s="3">
        <v>141.19999999999999</v>
      </c>
      <c r="L14" s="3">
        <v>0.74833147735478833</v>
      </c>
      <c r="M14" s="3" t="str">
        <f>ROUND(K14,2) &amp; " ± " &amp; ROUND(L14,2)</f>
        <v>141.2 ± 0.75</v>
      </c>
      <c r="N14" s="3">
        <v>9870.2000000000007</v>
      </c>
      <c r="O14" s="3">
        <v>88.860339859804725</v>
      </c>
      <c r="P14" s="3" t="str">
        <f>ROUND(N14,2) &amp; " ± " &amp; ROUND(O14,2)</f>
        <v>9870.2 ± 88.86</v>
      </c>
      <c r="Q14" s="3">
        <v>9870.2999999999993</v>
      </c>
      <c r="R14" s="3">
        <v>88.702931180429431</v>
      </c>
      <c r="S14" s="3" t="str">
        <f>ROUND(Q14,2) &amp; " ± " &amp; ROUND(R14,2)</f>
        <v>9870.3 ± 88.7</v>
      </c>
    </row>
    <row r="15" spans="1:19" x14ac:dyDescent="0.25">
      <c r="A15" t="s">
        <v>23</v>
      </c>
      <c r="B15" s="3">
        <v>3.7</v>
      </c>
      <c r="C15" s="3">
        <v>0.9</v>
      </c>
      <c r="D15" s="3" t="str">
        <f>ROUND(B15,2) &amp; " ± " &amp; ROUND(C15,2)</f>
        <v>3.7 ± 0.9</v>
      </c>
      <c r="E15" s="3">
        <v>3.6</v>
      </c>
      <c r="F15" s="3">
        <v>0.8</v>
      </c>
      <c r="G15" s="3" t="str">
        <f>ROUND(E15,2) &amp; " ± " &amp; ROUND(F15,2)</f>
        <v>3.6 ± 0.8</v>
      </c>
      <c r="H15" s="3">
        <v>187.2</v>
      </c>
      <c r="I15" s="3">
        <v>0.74833147735478833</v>
      </c>
      <c r="J15" s="3" t="str">
        <f>ROUND(H15,2) &amp; " ± " &amp; ROUND(I15,2)</f>
        <v>187.2 ± 0.75</v>
      </c>
      <c r="K15" s="3">
        <v>186.9</v>
      </c>
      <c r="L15" s="3">
        <v>0.83066238629180744</v>
      </c>
      <c r="M15" s="3" t="str">
        <f>ROUND(K15,2) &amp; " ± " &amp; ROUND(L15,2)</f>
        <v>186.9 ± 0.83</v>
      </c>
      <c r="N15" s="3">
        <v>17409.900000000001</v>
      </c>
      <c r="O15" s="3">
        <v>130.58594870812095</v>
      </c>
      <c r="P15" s="3" t="str">
        <f>ROUND(N15,2) &amp; " ± " &amp; ROUND(O15,2)</f>
        <v>17409.9 ± 130.59</v>
      </c>
      <c r="Q15" s="3">
        <v>17429</v>
      </c>
      <c r="R15" s="3">
        <v>182.79442004612724</v>
      </c>
      <c r="S15" s="3" t="str">
        <f>ROUND(Q15,2) &amp; " ± " &amp; ROUND(R15,2)</f>
        <v>17429 ± 182.79</v>
      </c>
    </row>
    <row r="16" spans="1:19" x14ac:dyDescent="0.25">
      <c r="A16" t="s">
        <v>24</v>
      </c>
      <c r="B16" s="3">
        <v>7.2</v>
      </c>
      <c r="C16" s="3">
        <v>0.87177978870813466</v>
      </c>
      <c r="D16" s="3" t="str">
        <f>ROUND(B16,2) &amp; " ± " &amp; ROUND(C16,2)</f>
        <v>7.2 ± 0.87</v>
      </c>
      <c r="E16" s="3">
        <v>7.4</v>
      </c>
      <c r="F16" s="3">
        <v>0.91651513899116799</v>
      </c>
      <c r="G16" s="3" t="str">
        <f>ROUND(E16,2) &amp; " ± " &amp; ROUND(F16,2)</f>
        <v>7.4 ± 0.92</v>
      </c>
      <c r="H16" s="3">
        <v>229</v>
      </c>
      <c r="I16" s="3">
        <v>1.3416407864998738</v>
      </c>
      <c r="J16" s="3" t="str">
        <f>ROUND(H16,2) &amp; " ± " &amp; ROUND(I16,2)</f>
        <v>229 ± 1.34</v>
      </c>
      <c r="K16" s="3">
        <v>229.4</v>
      </c>
      <c r="L16" s="3">
        <v>1.3564659966250536</v>
      </c>
      <c r="M16" s="3" t="str">
        <f>ROUND(K16,2) &amp; " ± " &amp; ROUND(L16,2)</f>
        <v>229.4 ± 1.36</v>
      </c>
      <c r="N16" s="3">
        <v>26132.799999999999</v>
      </c>
      <c r="O16" s="3">
        <v>425.46487516597654</v>
      </c>
      <c r="P16" s="3" t="str">
        <f>ROUND(N16,2) &amp; " ± " &amp; ROUND(O16,2)</f>
        <v>26132.8 ± 425.46</v>
      </c>
      <c r="Q16" s="3">
        <v>26178.3</v>
      </c>
      <c r="R16" s="3">
        <v>229.56744107124598</v>
      </c>
      <c r="S16" s="3" t="str">
        <f>ROUND(Q16,2) &amp; " ± " &amp; ROUND(R16,2)</f>
        <v>26178.3 ± 229.57</v>
      </c>
    </row>
    <row r="17" spans="1:19" x14ac:dyDescent="0.25">
      <c r="A17" t="s">
        <v>25</v>
      </c>
      <c r="B17" s="3">
        <v>6.8</v>
      </c>
      <c r="C17" s="3">
        <v>1.6</v>
      </c>
      <c r="D17" s="3" t="str">
        <f>ROUND(B17,2) &amp; " ± " &amp; ROUND(C17,2)</f>
        <v>6.8 ± 1.6</v>
      </c>
      <c r="E17" s="3">
        <v>6.1</v>
      </c>
      <c r="F17" s="3">
        <v>1.0440306508910551</v>
      </c>
      <c r="G17" s="3" t="str">
        <f>ROUND(E17,2) &amp; " ± " &amp; ROUND(F17,2)</f>
        <v>6.1 ± 1.04</v>
      </c>
      <c r="H17" s="3">
        <v>279</v>
      </c>
      <c r="I17" s="3">
        <v>1.1832159566199232</v>
      </c>
      <c r="J17" s="3" t="str">
        <f>ROUND(H17,2) &amp; " ± " &amp; ROUND(I17,2)</f>
        <v>279 ± 1.18</v>
      </c>
      <c r="K17" s="3">
        <v>279</v>
      </c>
      <c r="L17" s="3">
        <v>0.7745966692414834</v>
      </c>
      <c r="M17" s="3" t="str">
        <f>ROUND(K17,2) &amp; " ± " &amp; ROUND(L17,2)</f>
        <v>279 ± 0.77</v>
      </c>
      <c r="N17" s="3">
        <v>38811.1</v>
      </c>
      <c r="O17" s="3">
        <v>382.31255537844947</v>
      </c>
      <c r="P17" s="3" t="str">
        <f>ROUND(N17,2) &amp; " ± " &amp; ROUND(O17,2)</f>
        <v>38811.1 ± 382.31</v>
      </c>
      <c r="Q17" s="3">
        <v>38782.5</v>
      </c>
      <c r="R17" s="3">
        <v>215.33984768268041</v>
      </c>
      <c r="S17" s="3" t="str">
        <f>ROUND(Q17,2) &amp; " ± " &amp; ROUND(R17,2)</f>
        <v>38782.5 ± 215.34</v>
      </c>
    </row>
    <row r="18" spans="1:19" x14ac:dyDescent="0.25">
      <c r="A18" t="s">
        <v>26</v>
      </c>
      <c r="B18" s="3">
        <v>14.2</v>
      </c>
      <c r="C18" s="3">
        <v>1.7776388834631178</v>
      </c>
      <c r="D18" s="3" t="str">
        <f>ROUND(B18,2) &amp; " ± " &amp; ROUND(C18,2)</f>
        <v>14.2 ± 1.78</v>
      </c>
      <c r="E18" s="3">
        <v>13.6</v>
      </c>
      <c r="F18" s="3">
        <v>2.1540659228538015</v>
      </c>
      <c r="G18" s="3" t="str">
        <f>ROUND(E18,2) &amp; " ± " &amp; ROUND(F18,2)</f>
        <v>13.6 ± 2.15</v>
      </c>
      <c r="H18" s="3">
        <v>314.89999999999998</v>
      </c>
      <c r="I18" s="3">
        <v>2.3853720883753127</v>
      </c>
      <c r="J18" s="3" t="str">
        <f>ROUND(H18,2) &amp; " ± " &amp; ROUND(I18,2)</f>
        <v>314.9 ± 2.39</v>
      </c>
      <c r="K18" s="3">
        <v>314.8</v>
      </c>
      <c r="L18" s="3">
        <v>2.1354156504062622</v>
      </c>
      <c r="M18" s="3" t="str">
        <f>ROUND(K18,2) &amp; " ± " &amp; ROUND(L18,2)</f>
        <v>314.8 ± 2.14</v>
      </c>
      <c r="N18" s="3">
        <v>49025</v>
      </c>
      <c r="O18" s="3">
        <v>545.66729790230238</v>
      </c>
      <c r="P18" s="3" t="str">
        <f>ROUND(N18,2) &amp; " ± " &amp; ROUND(O18,2)</f>
        <v>49025 ± 545.67</v>
      </c>
      <c r="Q18" s="3">
        <v>49305.7</v>
      </c>
      <c r="R18" s="3">
        <v>402.60279432711343</v>
      </c>
      <c r="S18" s="3" t="str">
        <f>ROUND(Q18,2) &amp; " ± " &amp; ROUND(R18,2)</f>
        <v>49305.7 ± 402.6</v>
      </c>
    </row>
    <row r="19" spans="1:19" x14ac:dyDescent="0.25">
      <c r="A19" t="s">
        <v>27</v>
      </c>
      <c r="B19" s="3">
        <v>3.1</v>
      </c>
      <c r="C19" s="3">
        <v>0.53851648071345037</v>
      </c>
      <c r="D19" s="3" t="str">
        <f>ROUND(B19,2) &amp; " ± " &amp; ROUND(C19,2)</f>
        <v>3.1 ± 0.54</v>
      </c>
      <c r="E19" s="3">
        <v>3.3</v>
      </c>
      <c r="F19" s="3">
        <v>0.6403124237432849</v>
      </c>
      <c r="G19" s="3" t="str">
        <f>ROUND(E19,2) &amp; " ± " &amp; ROUND(F19,2)</f>
        <v>3.3 ± 0.64</v>
      </c>
      <c r="H19" s="3">
        <v>97.7</v>
      </c>
      <c r="I19" s="3">
        <v>0.78102496759066542</v>
      </c>
      <c r="J19" s="3" t="str">
        <f>ROUND(H19,2) &amp; " ± " &amp; ROUND(I19,2)</f>
        <v>97.7 ± 0.78</v>
      </c>
      <c r="K19" s="3">
        <v>97.8</v>
      </c>
      <c r="L19" s="3">
        <v>0.4</v>
      </c>
      <c r="M19" s="3" t="str">
        <f>ROUND(K19,2) &amp; " ± " &amp; ROUND(L19,2)</f>
        <v>97.8 ± 0.4</v>
      </c>
      <c r="N19" s="3">
        <v>4753.3</v>
      </c>
      <c r="O19" s="3">
        <v>61.66530629130127</v>
      </c>
      <c r="P19" s="3" t="str">
        <f>ROUND(N19,2) &amp; " ± " &amp; ROUND(O19,2)</f>
        <v>4753.3 ± 61.67</v>
      </c>
      <c r="Q19" s="3">
        <v>4686.7</v>
      </c>
      <c r="R19" s="3">
        <v>104.63942851525901</v>
      </c>
      <c r="S19" s="3" t="str">
        <f>ROUND(Q19,2) &amp; " ± " &amp; ROUND(R19,2)</f>
        <v>4686.7 ± 104.64</v>
      </c>
    </row>
    <row r="20" spans="1:19" x14ac:dyDescent="0.25">
      <c r="A20" t="s">
        <v>28</v>
      </c>
      <c r="B20" s="3">
        <v>2</v>
      </c>
      <c r="C20" s="3">
        <v>0</v>
      </c>
      <c r="D20" s="3" t="str">
        <f>ROUND(B20,2) &amp; " ± " &amp; ROUND(C20,2)</f>
        <v>2 ± 0</v>
      </c>
      <c r="E20" s="3">
        <v>2</v>
      </c>
      <c r="F20" s="3">
        <v>0</v>
      </c>
      <c r="G20" s="3" t="str">
        <f>ROUND(E20,2) &amp; " ± " &amp; ROUND(F20,2)</f>
        <v>2 ± 0</v>
      </c>
      <c r="H20" s="3">
        <v>10</v>
      </c>
      <c r="I20" s="3">
        <v>0</v>
      </c>
      <c r="J20" s="3" t="str">
        <f>ROUND(H20,2) &amp; " ± " &amp; ROUND(I20,2)</f>
        <v>10 ± 0</v>
      </c>
      <c r="K20" s="3">
        <v>10</v>
      </c>
      <c r="L20" s="3">
        <v>0</v>
      </c>
      <c r="M20" s="3" t="str">
        <f>ROUND(K20,2) &amp; " ± " &amp; ROUND(L20,2)</f>
        <v>10 ± 0</v>
      </c>
      <c r="N20" s="3">
        <v>81</v>
      </c>
      <c r="O20" s="3">
        <v>0</v>
      </c>
      <c r="P20" s="3" t="str">
        <f>ROUND(N20,2) &amp; " ± " &amp; ROUND(O20,2)</f>
        <v>81 ± 0</v>
      </c>
      <c r="Q20" s="3">
        <v>81</v>
      </c>
      <c r="R20" s="3">
        <v>0</v>
      </c>
      <c r="S20" s="3" t="str">
        <f>ROUND(Q20,2) &amp; " ± " &amp; ROUND(R20,2)</f>
        <v>81 ± 0</v>
      </c>
    </row>
    <row r="21" spans="1:19" x14ac:dyDescent="0.25">
      <c r="A21" t="s">
        <v>29</v>
      </c>
      <c r="B21" s="3">
        <v>1.9</v>
      </c>
      <c r="C21" s="3">
        <v>0.3</v>
      </c>
      <c r="D21" s="3" t="str">
        <f>ROUND(B21,2) &amp; " ± " &amp; ROUND(C21,2)</f>
        <v>1.9 ± 0.3</v>
      </c>
      <c r="E21" s="3">
        <v>2</v>
      </c>
      <c r="F21" s="3">
        <v>0</v>
      </c>
      <c r="G21" s="3" t="str">
        <f>ROUND(E21,2) &amp; " ± " &amp; ROUND(F21,2)</f>
        <v>2 ± 0</v>
      </c>
      <c r="H21" s="3">
        <v>18</v>
      </c>
      <c r="I21" s="3">
        <v>0</v>
      </c>
      <c r="J21" s="3" t="str">
        <f>ROUND(H21,2) &amp; " ± " &amp; ROUND(I21,2)</f>
        <v>18 ± 0</v>
      </c>
      <c r="K21" s="3">
        <v>18</v>
      </c>
      <c r="L21" s="3">
        <v>0</v>
      </c>
      <c r="M21" s="3" t="str">
        <f>ROUND(K21,2) &amp; " ± " &amp; ROUND(L21,2)</f>
        <v>18 ± 0</v>
      </c>
      <c r="N21" s="3">
        <v>153</v>
      </c>
      <c r="O21" s="3">
        <v>0</v>
      </c>
      <c r="P21" s="3" t="str">
        <f>ROUND(N21,2) &amp; " ± " &amp; ROUND(O21,2)</f>
        <v>153 ± 0</v>
      </c>
      <c r="Q21" s="3">
        <v>153</v>
      </c>
      <c r="R21" s="3">
        <v>0</v>
      </c>
      <c r="S21" s="3" t="str">
        <f>ROUND(Q21,2) &amp; " ± " &amp; ROUND(R21,2)</f>
        <v>153 ± 0</v>
      </c>
    </row>
    <row r="22" spans="1:19" x14ac:dyDescent="0.25">
      <c r="A22" t="s">
        <v>30</v>
      </c>
      <c r="B22" s="3">
        <v>2</v>
      </c>
      <c r="C22" s="3">
        <v>0</v>
      </c>
      <c r="D22" s="3" t="str">
        <f>ROUND(B22,2) &amp; " ± " &amp; ROUND(C22,2)</f>
        <v>2 ± 0</v>
      </c>
      <c r="E22" s="3">
        <v>2</v>
      </c>
      <c r="F22" s="3">
        <v>0</v>
      </c>
      <c r="G22" s="3" t="str">
        <f>ROUND(E22,2) &amp; " ± " &amp; ROUND(F22,2)</f>
        <v>2 ± 0</v>
      </c>
      <c r="H22" s="3">
        <v>19</v>
      </c>
      <c r="I22" s="3">
        <v>0</v>
      </c>
      <c r="J22" s="3" t="str">
        <f>ROUND(H22,2) &amp; " ± " &amp; ROUND(I22,2)</f>
        <v>19 ± 0</v>
      </c>
      <c r="K22" s="3">
        <v>16.2</v>
      </c>
      <c r="L22" s="3">
        <v>0.4</v>
      </c>
      <c r="M22" s="3" t="str">
        <f>ROUND(K22,2) &amp; " ± " &amp; ROUND(L22,2)</f>
        <v>16.2 ± 0.4</v>
      </c>
      <c r="N22" s="3">
        <v>181</v>
      </c>
      <c r="O22" s="3">
        <v>0</v>
      </c>
      <c r="P22" s="3" t="str">
        <f>ROUND(N22,2) &amp; " ± " &amp; ROUND(O22,2)</f>
        <v>181 ± 0</v>
      </c>
      <c r="Q22" s="3">
        <v>149.80000000000001</v>
      </c>
      <c r="R22" s="3">
        <v>3.6</v>
      </c>
      <c r="S22" s="3" t="str">
        <f>ROUND(Q22,2) &amp; " ± " &amp; ROUND(R22,2)</f>
        <v>149.8 ± 3.6</v>
      </c>
    </row>
    <row r="23" spans="1:19" x14ac:dyDescent="0.25">
      <c r="A23" t="s">
        <v>31</v>
      </c>
      <c r="B23" s="3">
        <v>1.7</v>
      </c>
      <c r="C23" s="3">
        <v>0.45825756949558399</v>
      </c>
      <c r="D23" s="3" t="str">
        <f>ROUND(B23,2) &amp; " ± " &amp; ROUND(C23,2)</f>
        <v>1.7 ± 0.46</v>
      </c>
      <c r="E23" s="3">
        <v>1.8</v>
      </c>
      <c r="F23" s="3">
        <v>0.4</v>
      </c>
      <c r="G23" s="3" t="str">
        <f>ROUND(E23,2) &amp; " ± " &amp; ROUND(F23,2)</f>
        <v>1.8 ± 0.4</v>
      </c>
      <c r="H23" s="3">
        <v>23.6</v>
      </c>
      <c r="I23" s="3">
        <v>0.4898979485566356</v>
      </c>
      <c r="J23" s="3" t="str">
        <f>ROUND(H23,2) &amp; " ± " &amp; ROUND(I23,2)</f>
        <v>23.6 ± 0.49</v>
      </c>
      <c r="K23" s="3">
        <v>23.3</v>
      </c>
      <c r="L23" s="3">
        <v>0.45825756949558399</v>
      </c>
      <c r="M23" s="3" t="str">
        <f>ROUND(K23,2) &amp; " ± " &amp; ROUND(L23,2)</f>
        <v>23.3 ± 0.46</v>
      </c>
      <c r="N23" s="3">
        <v>257.60000000000002</v>
      </c>
      <c r="O23" s="3">
        <v>9.1999999999999993</v>
      </c>
      <c r="P23" s="3" t="str">
        <f>ROUND(N23,2) &amp; " ± " &amp; ROUND(O23,2)</f>
        <v>257.6 ± 9.2</v>
      </c>
      <c r="Q23" s="3">
        <v>259.89999999999998</v>
      </c>
      <c r="R23" s="3">
        <v>10.539924098398432</v>
      </c>
      <c r="S23" s="3" t="str">
        <f>ROUND(Q23,2) &amp; " ± " &amp; ROUND(R23,2)</f>
        <v>259.9 ± 10.54</v>
      </c>
    </row>
    <row r="24" spans="1:19" x14ac:dyDescent="0.25">
      <c r="A24" t="s">
        <v>32</v>
      </c>
      <c r="B24" s="3">
        <v>2.1</v>
      </c>
      <c r="C24" s="3">
        <v>0.3</v>
      </c>
      <c r="D24" s="3" t="str">
        <f>ROUND(B24,2) &amp; " ± " &amp; ROUND(C24,2)</f>
        <v>2.1 ± 0.3</v>
      </c>
      <c r="E24" s="3">
        <v>2.1</v>
      </c>
      <c r="F24" s="3">
        <v>0.3</v>
      </c>
      <c r="G24" s="3" t="str">
        <f>ROUND(E24,2) &amp; " ± " &amp; ROUND(F24,2)</f>
        <v>2.1 ± 0.3</v>
      </c>
      <c r="H24" s="3">
        <v>26.8</v>
      </c>
      <c r="I24" s="3">
        <v>0.74833147735478833</v>
      </c>
      <c r="J24" s="3" t="str">
        <f>ROUND(H24,2) &amp; " ± " &amp; ROUND(I24,2)</f>
        <v>26.8 ± 0.75</v>
      </c>
      <c r="K24" s="3">
        <v>26.6</v>
      </c>
      <c r="L24" s="3">
        <v>0.8</v>
      </c>
      <c r="M24" s="3" t="str">
        <f>ROUND(K24,2) &amp; " ± " &amp; ROUND(L24,2)</f>
        <v>26.6 ± 0.8</v>
      </c>
      <c r="N24" s="3">
        <v>344.8</v>
      </c>
      <c r="O24" s="3">
        <v>10.998181667894016</v>
      </c>
      <c r="P24" s="3" t="str">
        <f>ROUND(N24,2) &amp; " ± " &amp; ROUND(O24,2)</f>
        <v>344.8 ± 11</v>
      </c>
      <c r="Q24" s="3">
        <v>345</v>
      </c>
      <c r="R24" s="3">
        <v>15.779733838059499</v>
      </c>
      <c r="S24" s="3" t="str">
        <f>ROUND(Q24,2) &amp; " ± " &amp; ROUND(R24,2)</f>
        <v>345 ± 15.78</v>
      </c>
    </row>
    <row r="25" spans="1:19" x14ac:dyDescent="0.25">
      <c r="A25" t="s">
        <v>33</v>
      </c>
      <c r="B25" s="3">
        <v>1.8</v>
      </c>
      <c r="C25" s="3">
        <v>0.4</v>
      </c>
      <c r="D25" s="3" t="str">
        <f>ROUND(B25,2) &amp; " ± " &amp; ROUND(C25,2)</f>
        <v>1.8 ± 0.4</v>
      </c>
      <c r="E25" s="3">
        <v>2</v>
      </c>
      <c r="F25" s="3">
        <v>0</v>
      </c>
      <c r="G25" s="3" t="str">
        <f>ROUND(E25,2) &amp; " ± " &amp; ROUND(F25,2)</f>
        <v>2 ± 0</v>
      </c>
      <c r="H25" s="3">
        <v>28.1</v>
      </c>
      <c r="I25" s="3">
        <v>0.3</v>
      </c>
      <c r="J25" s="3" t="str">
        <f>ROUND(H25,2) &amp; " ± " &amp; ROUND(I25,2)</f>
        <v>28.1 ± 0.3</v>
      </c>
      <c r="K25" s="3">
        <v>28.3</v>
      </c>
      <c r="L25" s="3">
        <v>0.45825756949558399</v>
      </c>
      <c r="M25" s="3" t="str">
        <f>ROUND(K25,2) &amp; " ± " &amp; ROUND(L25,2)</f>
        <v>28.3 ± 0.46</v>
      </c>
      <c r="N25" s="3">
        <v>378</v>
      </c>
      <c r="O25" s="3">
        <v>0</v>
      </c>
      <c r="P25" s="3" t="str">
        <f>ROUND(N25,2) &amp; " ± " &amp; ROUND(O25,2)</f>
        <v>378 ± 0</v>
      </c>
      <c r="Q25" s="3">
        <v>380.8</v>
      </c>
      <c r="R25" s="3">
        <v>8.4</v>
      </c>
      <c r="S25" s="3" t="str">
        <f>ROUND(Q25,2) &amp; " ± " &amp; ROUND(R25,2)</f>
        <v>380.8 ± 8.4</v>
      </c>
    </row>
    <row r="26" spans="1:19" x14ac:dyDescent="0.25">
      <c r="A26" t="s">
        <v>34</v>
      </c>
      <c r="B26" s="3">
        <v>2.8</v>
      </c>
      <c r="C26" s="3">
        <v>0.4</v>
      </c>
      <c r="D26" s="3" t="str">
        <f>ROUND(B26,2) &amp; " ± " &amp; ROUND(C26,2)</f>
        <v>2.8 ± 0.4</v>
      </c>
      <c r="E26" s="3">
        <v>2.9</v>
      </c>
      <c r="F26" s="3">
        <v>0.3</v>
      </c>
      <c r="G26" s="3" t="str">
        <f>ROUND(E26,2) &amp; " ± " &amp; ROUND(F26,2)</f>
        <v>2.9 ± 0.3</v>
      </c>
      <c r="H26" s="3">
        <v>30.9</v>
      </c>
      <c r="I26" s="3">
        <v>0.3</v>
      </c>
      <c r="J26" s="3" t="str">
        <f>ROUND(H26,2) &amp; " ± " &amp; ROUND(I26,2)</f>
        <v>30.9 ± 0.3</v>
      </c>
      <c r="K26" s="3">
        <v>31</v>
      </c>
      <c r="L26" s="3">
        <v>0.44721359549995793</v>
      </c>
      <c r="M26" s="3" t="str">
        <f>ROUND(K26,2) &amp; " ± " &amp; ROUND(L26,2)</f>
        <v>31 ± 0.45</v>
      </c>
      <c r="N26" s="3">
        <v>464.3</v>
      </c>
      <c r="O26" s="3">
        <v>7.8236819976274603</v>
      </c>
      <c r="P26" s="3" t="str">
        <f>ROUND(N26,2) &amp; " ± " &amp; ROUND(O26,2)</f>
        <v>464.3 ± 7.82</v>
      </c>
      <c r="Q26" s="3">
        <v>458.9</v>
      </c>
      <c r="R26" s="3">
        <v>11.742657280190032</v>
      </c>
      <c r="S26" s="3" t="str">
        <f>ROUND(Q26,2) &amp; " ± " &amp; ROUND(R26,2)</f>
        <v>458.9 ± 11.74</v>
      </c>
    </row>
    <row r="27" spans="1:19" x14ac:dyDescent="0.25">
      <c r="A27" t="s">
        <v>35</v>
      </c>
      <c r="B27" s="3">
        <v>1</v>
      </c>
      <c r="C27" s="3">
        <v>0</v>
      </c>
      <c r="D27" s="3" t="str">
        <f>ROUND(B27,2) &amp; " ± " &amp; ROUND(C27,2)</f>
        <v>1 ± 0</v>
      </c>
      <c r="E27" s="3">
        <v>1.2</v>
      </c>
      <c r="F27" s="3">
        <v>0.4</v>
      </c>
      <c r="G27" s="3" t="str">
        <f>ROUND(E27,2) &amp; " ± " &amp; ROUND(F27,2)</f>
        <v>1.2 ± 0.4</v>
      </c>
      <c r="H27" s="3">
        <v>33.9</v>
      </c>
      <c r="I27" s="3">
        <v>0.3</v>
      </c>
      <c r="J27" s="3" t="str">
        <f>ROUND(H27,2) &amp; " ± " &amp; ROUND(I27,2)</f>
        <v>33.9 ± 0.3</v>
      </c>
      <c r="K27" s="3">
        <v>33.9</v>
      </c>
      <c r="L27" s="3">
        <v>0.3</v>
      </c>
      <c r="M27" s="3" t="str">
        <f>ROUND(K27,2) &amp; " ± " &amp; ROUND(L27,2)</f>
        <v>33.9 ± 0.3</v>
      </c>
      <c r="N27" s="3">
        <v>557.70000000000005</v>
      </c>
      <c r="O27" s="3">
        <v>9.9</v>
      </c>
      <c r="P27" s="3" t="str">
        <f>ROUND(N27,2) &amp; " ± " &amp; ROUND(O27,2)</f>
        <v>557.7 ± 9.9</v>
      </c>
      <c r="Q27" s="3">
        <v>561</v>
      </c>
      <c r="R27" s="3">
        <v>0</v>
      </c>
      <c r="S27" s="3" t="str">
        <f>ROUND(Q27,2) &amp; " ± " &amp; ROUND(R27,2)</f>
        <v>561 ± 0</v>
      </c>
    </row>
    <row r="28" spans="1:19" x14ac:dyDescent="0.25">
      <c r="A28" t="s">
        <v>36</v>
      </c>
      <c r="B28" s="3">
        <v>2.5</v>
      </c>
      <c r="C28" s="3">
        <v>0.5</v>
      </c>
      <c r="D28" s="3" t="str">
        <f>ROUND(B28,2) &amp; " ± " &amp; ROUND(C28,2)</f>
        <v>2.5 ± 0.5</v>
      </c>
      <c r="E28" s="3">
        <v>2.4</v>
      </c>
      <c r="F28" s="3">
        <v>0.4898979485566356</v>
      </c>
      <c r="G28" s="3" t="str">
        <f>ROUND(E28,2) &amp; " ± " &amp; ROUND(F28,2)</f>
        <v>2.4 ± 0.49</v>
      </c>
      <c r="H28" s="3">
        <v>36</v>
      </c>
      <c r="I28" s="3">
        <v>0.63245553203367588</v>
      </c>
      <c r="J28" s="3" t="str">
        <f>ROUND(H28,2) &amp; " ± " &amp; ROUND(I28,2)</f>
        <v>36 ± 0.63</v>
      </c>
      <c r="K28" s="3">
        <v>35.5</v>
      </c>
      <c r="L28" s="3">
        <v>0.80622577482985502</v>
      </c>
      <c r="M28" s="3" t="str">
        <f>ROUND(K28,2) &amp; " ± " &amp; ROUND(L28,2)</f>
        <v>35.5 ± 0.81</v>
      </c>
      <c r="N28" s="3">
        <v>630.70000000000005</v>
      </c>
      <c r="O28" s="3">
        <v>27.114756130195971</v>
      </c>
      <c r="P28" s="3" t="str">
        <f>ROUND(N28,2) &amp; " ± " &amp; ROUND(O28,2)</f>
        <v>630.7 ± 27.11</v>
      </c>
      <c r="Q28" s="3">
        <v>626.9</v>
      </c>
      <c r="R28" s="3">
        <v>10.309704166463749</v>
      </c>
      <c r="S28" s="3" t="str">
        <f>ROUND(Q28,2) &amp; " ± " &amp; ROUND(R28,2)</f>
        <v>626.9 ± 10.31</v>
      </c>
    </row>
    <row r="29" spans="1:19" x14ac:dyDescent="0.25">
      <c r="A29" t="s">
        <v>37</v>
      </c>
      <c r="B29" s="3">
        <v>1</v>
      </c>
      <c r="C29" s="3">
        <v>0</v>
      </c>
      <c r="D29" s="3" t="str">
        <f>ROUND(B29,2) &amp; " ± " &amp; ROUND(C29,2)</f>
        <v>1 ± 0</v>
      </c>
      <c r="E29" s="3">
        <v>1.1000000000000001</v>
      </c>
      <c r="F29" s="3">
        <v>0.3</v>
      </c>
      <c r="G29" s="3" t="str">
        <f>ROUND(E29,2) &amp; " ± " &amp; ROUND(F29,2)</f>
        <v>1.1 ± 0.3</v>
      </c>
      <c r="H29" s="3">
        <v>38</v>
      </c>
      <c r="I29" s="3">
        <v>0</v>
      </c>
      <c r="J29" s="3" t="str">
        <f>ROUND(H29,2) &amp; " ± " &amp; ROUND(I29,2)</f>
        <v>38 ± 0</v>
      </c>
      <c r="K29" s="3">
        <v>37.9</v>
      </c>
      <c r="L29" s="3">
        <v>0.3</v>
      </c>
      <c r="M29" s="3" t="str">
        <f>ROUND(K29,2) &amp; " ± " &amp; ROUND(L29,2)</f>
        <v>37.9 ± 0.3</v>
      </c>
      <c r="N29" s="3">
        <v>703</v>
      </c>
      <c r="O29" s="3">
        <v>0</v>
      </c>
      <c r="P29" s="3" t="str">
        <f>ROUND(N29,2) &amp; " ± " &amp; ROUND(O29,2)</f>
        <v>703 ± 0</v>
      </c>
      <c r="Q29" s="3">
        <v>703</v>
      </c>
      <c r="R29" s="3">
        <v>0</v>
      </c>
      <c r="S29" s="3" t="str">
        <f>ROUND(Q29,2) &amp; " ± " &amp; ROUND(R29,2)</f>
        <v>703 ± 0</v>
      </c>
    </row>
    <row r="30" spans="1:19" x14ac:dyDescent="0.25">
      <c r="A30" t="s">
        <v>38</v>
      </c>
      <c r="B30" s="3">
        <v>2.7</v>
      </c>
      <c r="C30" s="3">
        <v>0.45825756949558399</v>
      </c>
      <c r="D30" s="3" t="str">
        <f>ROUND(B30,2) &amp; " ± " &amp; ROUND(C30,2)</f>
        <v>2.7 ± 0.46</v>
      </c>
      <c r="E30" s="3">
        <v>2.5</v>
      </c>
      <c r="F30" s="3">
        <v>0.5</v>
      </c>
      <c r="G30" s="3" t="str">
        <f>ROUND(E30,2) &amp; " ± " &amp; ROUND(F30,2)</f>
        <v>2.5 ± 0.5</v>
      </c>
      <c r="H30" s="3">
        <v>41.5</v>
      </c>
      <c r="I30" s="3">
        <v>0.5</v>
      </c>
      <c r="J30" s="3" t="str">
        <f>ROUND(H30,2) &amp; " ± " &amp; ROUND(I30,2)</f>
        <v>41.5 ± 0.5</v>
      </c>
      <c r="K30" s="3">
        <v>41.3</v>
      </c>
      <c r="L30" s="3">
        <v>0.45825756949558399</v>
      </c>
      <c r="M30" s="3" t="str">
        <f>ROUND(K30,2) &amp; " ± " &amp; ROUND(L30,2)</f>
        <v>41.3 ± 0.46</v>
      </c>
      <c r="N30" s="3">
        <v>844.6</v>
      </c>
      <c r="O30" s="3">
        <v>20.085815890822062</v>
      </c>
      <c r="P30" s="3" t="str">
        <f>ROUND(N30,2) &amp; " ± " &amp; ROUND(O30,2)</f>
        <v>844.6 ± 20.09</v>
      </c>
      <c r="Q30" s="3">
        <v>832.3</v>
      </c>
      <c r="R30" s="3">
        <v>18.788560349318942</v>
      </c>
      <c r="S30" s="3" t="str">
        <f>ROUND(Q30,2) &amp; " ± " &amp; ROUND(R30,2)</f>
        <v>832.3 ± 18.79</v>
      </c>
    </row>
    <row r="31" spans="1:19" x14ac:dyDescent="0.25">
      <c r="A31" t="s">
        <v>39</v>
      </c>
      <c r="B31" s="3">
        <v>1</v>
      </c>
      <c r="C31" s="3">
        <v>0</v>
      </c>
      <c r="D31" s="3" t="str">
        <f>ROUND(B31,2) &amp; " ± " &amp; ROUND(C31,2)</f>
        <v>1 ± 0</v>
      </c>
      <c r="E31" s="3">
        <v>1</v>
      </c>
      <c r="F31" s="3">
        <v>0</v>
      </c>
      <c r="G31" s="3" t="str">
        <f>ROUND(E31,2) &amp; " ± " &amp; ROUND(F31,2)</f>
        <v>1 ± 0</v>
      </c>
      <c r="H31" s="3">
        <v>43</v>
      </c>
      <c r="I31" s="3">
        <v>0</v>
      </c>
      <c r="J31" s="3" t="str">
        <f>ROUND(H31,2) &amp; " ± " &amp; ROUND(I31,2)</f>
        <v>43 ± 0</v>
      </c>
      <c r="K31" s="3">
        <v>43</v>
      </c>
      <c r="L31" s="3">
        <v>0</v>
      </c>
      <c r="M31" s="3" t="str">
        <f>ROUND(K31,2) &amp; " ± " &amp; ROUND(L31,2)</f>
        <v>43 ± 0</v>
      </c>
      <c r="N31" s="3">
        <v>903</v>
      </c>
      <c r="O31" s="3">
        <v>0</v>
      </c>
      <c r="P31" s="3" t="str">
        <f>ROUND(N31,2) &amp; " ± " &amp; ROUND(O31,2)</f>
        <v>903 ± 0</v>
      </c>
      <c r="Q31" s="3">
        <v>903</v>
      </c>
      <c r="R31" s="3">
        <v>0</v>
      </c>
      <c r="S31" s="3" t="str">
        <f>ROUND(Q31,2) &amp; " ± " &amp; ROUND(R31,2)</f>
        <v>903 ± 0</v>
      </c>
    </row>
    <row r="32" spans="1:19" x14ac:dyDescent="0.25">
      <c r="A32" t="s">
        <v>40</v>
      </c>
      <c r="B32" s="3">
        <v>2.9</v>
      </c>
      <c r="C32" s="3">
        <v>0.3</v>
      </c>
      <c r="D32" s="3" t="str">
        <f>ROUND(B32,2) &amp; " ± " &amp; ROUND(C32,2)</f>
        <v>2.9 ± 0.3</v>
      </c>
      <c r="E32" s="3">
        <v>2.6</v>
      </c>
      <c r="F32" s="3">
        <v>0.4898979485566356</v>
      </c>
      <c r="G32" s="3" t="str">
        <f>ROUND(E32,2) &amp; " ± " &amp; ROUND(F32,2)</f>
        <v>2.6 ± 0.49</v>
      </c>
      <c r="H32" s="3">
        <v>46.7</v>
      </c>
      <c r="I32" s="3">
        <v>0.6403124237432849</v>
      </c>
      <c r="J32" s="3" t="str">
        <f>ROUND(H32,2) &amp; " ± " &amp; ROUND(I32,2)</f>
        <v>46.7 ± 0.64</v>
      </c>
      <c r="K32" s="3">
        <v>46.3</v>
      </c>
      <c r="L32" s="3">
        <v>0.78102496759066542</v>
      </c>
      <c r="M32" s="3" t="str">
        <f>ROUND(K32,2) &amp; " ± " &amp; ROUND(L32,2)</f>
        <v>46.3 ± 0.78</v>
      </c>
      <c r="N32" s="3">
        <v>1053.4000000000001</v>
      </c>
      <c r="O32" s="3">
        <v>22.535305633605237</v>
      </c>
      <c r="P32" s="3" t="str">
        <f>ROUND(N32,2) &amp; " ± " &amp; ROUND(O32,2)</f>
        <v>1053.4 ± 22.54</v>
      </c>
      <c r="Q32" s="3">
        <v>1067.4000000000001</v>
      </c>
      <c r="R32" s="3">
        <v>29.079889958526323</v>
      </c>
      <c r="S32" s="3" t="str">
        <f>ROUND(Q32,2) &amp; " ± " &amp; ROUND(R32,2)</f>
        <v>1067.4 ± 29.08</v>
      </c>
    </row>
    <row r="33" spans="1:19" x14ac:dyDescent="0.25">
      <c r="A33" t="s">
        <v>41</v>
      </c>
      <c r="B33" s="3">
        <v>1</v>
      </c>
      <c r="C33" s="3">
        <v>0</v>
      </c>
      <c r="D33" s="3" t="str">
        <f>ROUND(B33,2) &amp; " ± " &amp; ROUND(C33,2)</f>
        <v>1 ± 0</v>
      </c>
      <c r="E33" s="3">
        <v>1</v>
      </c>
      <c r="F33" s="3">
        <v>0</v>
      </c>
      <c r="G33" s="3" t="str">
        <f>ROUND(E33,2) &amp; " ± " &amp; ROUND(F33,2)</f>
        <v>1 ± 0</v>
      </c>
      <c r="H33" s="3">
        <v>48</v>
      </c>
      <c r="I33" s="3">
        <v>0</v>
      </c>
      <c r="J33" s="3" t="str">
        <f>ROUND(H33,2) &amp; " ± " &amp; ROUND(I33,2)</f>
        <v>48 ± 0</v>
      </c>
      <c r="K33" s="3">
        <v>48</v>
      </c>
      <c r="L33" s="3">
        <v>0</v>
      </c>
      <c r="M33" s="3" t="str">
        <f>ROUND(K33,2) &amp; " ± " &amp; ROUND(L33,2)</f>
        <v>48 ± 0</v>
      </c>
      <c r="N33" s="3">
        <v>1128</v>
      </c>
      <c r="O33" s="3">
        <v>0</v>
      </c>
      <c r="P33" s="3" t="str">
        <f>ROUND(N33,2) &amp; " ± " &amp; ROUND(O33,2)</f>
        <v>1128 ± 0</v>
      </c>
      <c r="Q33" s="3">
        <v>1128</v>
      </c>
      <c r="R33" s="3">
        <v>0</v>
      </c>
      <c r="S33" s="3" t="str">
        <f>ROUND(Q33,2) &amp; " ± " &amp; ROUND(R33,2)</f>
        <v>1128 ± 0</v>
      </c>
    </row>
    <row r="34" spans="1:19" x14ac:dyDescent="0.25">
      <c r="A34" t="s">
        <v>42</v>
      </c>
      <c r="B34" s="3">
        <v>1</v>
      </c>
      <c r="C34" s="3">
        <v>0</v>
      </c>
      <c r="D34" s="3" t="str">
        <f>ROUND(B34,2) &amp; " ± " &amp; ROUND(C34,2)</f>
        <v>1 ± 0</v>
      </c>
      <c r="E34" s="3">
        <v>1</v>
      </c>
      <c r="F34" s="3">
        <v>0</v>
      </c>
      <c r="G34" s="3" t="str">
        <f>ROUND(E34,2) &amp; " ± " &amp; ROUND(F34,2)</f>
        <v>1 ± 0</v>
      </c>
      <c r="H34" s="3">
        <v>10</v>
      </c>
      <c r="I34" s="3">
        <v>0</v>
      </c>
      <c r="J34" s="3" t="str">
        <f>ROUND(H34,2) &amp; " ± " &amp; ROUND(I34,2)</f>
        <v>10 ± 0</v>
      </c>
      <c r="K34" s="3">
        <v>10</v>
      </c>
      <c r="L34" s="3">
        <v>0</v>
      </c>
      <c r="M34" s="3" t="str">
        <f>ROUND(K34,2) &amp; " ± " &amp; ROUND(L34,2)</f>
        <v>10 ± 0</v>
      </c>
      <c r="N34" s="3">
        <v>45</v>
      </c>
      <c r="O34" s="3">
        <v>0</v>
      </c>
      <c r="P34" s="3" t="str">
        <f>ROUND(N34,2) &amp; " ± " &amp; ROUND(O34,2)</f>
        <v>45 ± 0</v>
      </c>
      <c r="Q34" s="3">
        <v>45</v>
      </c>
      <c r="R34" s="3">
        <v>0</v>
      </c>
      <c r="S34" s="3" t="str">
        <f>ROUND(Q34,2) &amp; " ± " &amp; ROUND(R34,2)</f>
        <v>45 ± 0</v>
      </c>
    </row>
    <row r="35" spans="1:19" x14ac:dyDescent="0.25">
      <c r="A35" t="s">
        <v>43</v>
      </c>
      <c r="B35" s="3">
        <v>1</v>
      </c>
      <c r="C35" s="3">
        <v>0</v>
      </c>
      <c r="D35" s="3" t="str">
        <f>ROUND(B35,2) &amp; " ± " &amp; ROUND(C35,2)</f>
        <v>1 ± 0</v>
      </c>
      <c r="E35" s="3">
        <v>1</v>
      </c>
      <c r="F35" s="3">
        <v>0</v>
      </c>
      <c r="G35" s="3" t="str">
        <f>ROUND(E35,2) &amp; " ± " &amp; ROUND(F35,2)</f>
        <v>1 ± 0</v>
      </c>
      <c r="H35" s="3">
        <v>11</v>
      </c>
      <c r="I35" s="3">
        <v>0</v>
      </c>
      <c r="J35" s="3" t="str">
        <f>ROUND(H35,2) &amp; " ± " &amp; ROUND(I35,2)</f>
        <v>11 ± 0</v>
      </c>
      <c r="K35" s="3">
        <v>11</v>
      </c>
      <c r="L35" s="3">
        <v>0</v>
      </c>
      <c r="M35" s="3" t="str">
        <f>ROUND(K35,2) &amp; " ± " &amp; ROUND(L35,2)</f>
        <v>11 ± 0</v>
      </c>
      <c r="N35" s="3">
        <v>55</v>
      </c>
      <c r="O35" s="3">
        <v>0</v>
      </c>
      <c r="P35" s="3" t="str">
        <f>ROUND(N35,2) &amp; " ± " &amp; ROUND(O35,2)</f>
        <v>55 ± 0</v>
      </c>
      <c r="Q35" s="3">
        <v>55</v>
      </c>
      <c r="R35" s="3">
        <v>0</v>
      </c>
      <c r="S35" s="3" t="str">
        <f>ROUND(Q35,2) &amp; " ± " &amp; ROUND(R35,2)</f>
        <v>55 ± 0</v>
      </c>
    </row>
    <row r="36" spans="1:19" x14ac:dyDescent="0.25">
      <c r="A36" t="s">
        <v>44</v>
      </c>
      <c r="B36" s="3">
        <v>1</v>
      </c>
      <c r="C36" s="3">
        <v>0</v>
      </c>
      <c r="D36" s="3" t="str">
        <f>ROUND(B36,2) &amp; " ± " &amp; ROUND(C36,2)</f>
        <v>1 ± 0</v>
      </c>
      <c r="E36" s="3">
        <v>1</v>
      </c>
      <c r="F36" s="3">
        <v>0</v>
      </c>
      <c r="G36" s="3" t="str">
        <f>ROUND(E36,2) &amp; " ± " &amp; ROUND(F36,2)</f>
        <v>1 ± 0</v>
      </c>
      <c r="H36" s="3">
        <v>12</v>
      </c>
      <c r="I36" s="3">
        <v>0</v>
      </c>
      <c r="J36" s="3" t="str">
        <f>ROUND(H36,2) &amp; " ± " &amp; ROUND(I36,2)</f>
        <v>12 ± 0</v>
      </c>
      <c r="K36" s="3">
        <v>12</v>
      </c>
      <c r="L36" s="3">
        <v>0</v>
      </c>
      <c r="M36" s="3" t="str">
        <f>ROUND(K36,2) &amp; " ± " &amp; ROUND(L36,2)</f>
        <v>12 ± 0</v>
      </c>
      <c r="N36" s="3">
        <v>66</v>
      </c>
      <c r="O36" s="3">
        <v>0</v>
      </c>
      <c r="P36" s="3" t="str">
        <f>ROUND(N36,2) &amp; " ± " &amp; ROUND(O36,2)</f>
        <v>66 ± 0</v>
      </c>
      <c r="Q36" s="3">
        <v>66</v>
      </c>
      <c r="R36" s="3">
        <v>0</v>
      </c>
      <c r="S36" s="3" t="str">
        <f>ROUND(Q36,2) &amp; " ± " &amp; ROUND(R36,2)</f>
        <v>66 ± 0</v>
      </c>
    </row>
    <row r="37" spans="1:19" x14ac:dyDescent="0.25">
      <c r="A37" t="s">
        <v>45</v>
      </c>
      <c r="B37" s="3">
        <v>1</v>
      </c>
      <c r="C37" s="3">
        <v>0</v>
      </c>
      <c r="D37" s="3" t="str">
        <f>ROUND(B37,2) &amp; " ± " &amp; ROUND(C37,2)</f>
        <v>1 ± 0</v>
      </c>
      <c r="E37" s="3">
        <v>1</v>
      </c>
      <c r="F37" s="3">
        <v>0</v>
      </c>
      <c r="G37" s="3" t="str">
        <f>ROUND(E37,2) &amp; " ± " &amp; ROUND(F37,2)</f>
        <v>1 ± 0</v>
      </c>
      <c r="H37" s="3">
        <v>13</v>
      </c>
      <c r="I37" s="3">
        <v>0</v>
      </c>
      <c r="J37" s="3" t="str">
        <f>ROUND(H37,2) &amp; " ± " &amp; ROUND(I37,2)</f>
        <v>13 ± 0</v>
      </c>
      <c r="K37" s="3">
        <v>13</v>
      </c>
      <c r="L37" s="3">
        <v>0</v>
      </c>
      <c r="M37" s="3" t="str">
        <f>ROUND(K37,2) &amp; " ± " &amp; ROUND(L37,2)</f>
        <v>13 ± 0</v>
      </c>
      <c r="N37" s="3">
        <v>78</v>
      </c>
      <c r="O37" s="3">
        <v>0</v>
      </c>
      <c r="P37" s="3" t="str">
        <f>ROUND(N37,2) &amp; " ± " &amp; ROUND(O37,2)</f>
        <v>78 ± 0</v>
      </c>
      <c r="Q37" s="3">
        <v>78</v>
      </c>
      <c r="R37" s="3">
        <v>0</v>
      </c>
      <c r="S37" s="3" t="str">
        <f>ROUND(Q37,2) &amp; " ± " &amp; ROUND(R37,2)</f>
        <v>78 ± 0</v>
      </c>
    </row>
    <row r="38" spans="1:19" x14ac:dyDescent="0.25">
      <c r="A38" t="s">
        <v>46</v>
      </c>
      <c r="B38" s="3">
        <v>1</v>
      </c>
      <c r="C38" s="3">
        <v>0</v>
      </c>
      <c r="D38" s="3" t="str">
        <f>ROUND(B38,2) &amp; " ± " &amp; ROUND(C38,2)</f>
        <v>1 ± 0</v>
      </c>
      <c r="E38" s="3">
        <v>1</v>
      </c>
      <c r="F38" s="3">
        <v>0</v>
      </c>
      <c r="G38" s="3" t="str">
        <f>ROUND(E38,2) &amp; " ± " &amp; ROUND(F38,2)</f>
        <v>1 ± 0</v>
      </c>
      <c r="H38" s="3">
        <v>14</v>
      </c>
      <c r="I38" s="3">
        <v>0</v>
      </c>
      <c r="J38" s="3" t="str">
        <f>ROUND(H38,2) &amp; " ± " &amp; ROUND(I38,2)</f>
        <v>14 ± 0</v>
      </c>
      <c r="K38" s="3">
        <v>14</v>
      </c>
      <c r="L38" s="3">
        <v>0</v>
      </c>
      <c r="M38" s="3" t="str">
        <f>ROUND(K38,2) &amp; " ± " &amp; ROUND(L38,2)</f>
        <v>14 ± 0</v>
      </c>
      <c r="N38" s="3">
        <v>91</v>
      </c>
      <c r="O38" s="3">
        <v>0</v>
      </c>
      <c r="P38" s="3" t="str">
        <f>ROUND(N38,2) &amp; " ± " &amp; ROUND(O38,2)</f>
        <v>91 ± 0</v>
      </c>
      <c r="Q38" s="3">
        <v>91</v>
      </c>
      <c r="R38" s="3">
        <v>0</v>
      </c>
      <c r="S38" s="3" t="str">
        <f>ROUND(Q38,2) &amp; " ± " &amp; ROUND(R38,2)</f>
        <v>91 ± 0</v>
      </c>
    </row>
    <row r="39" spans="1:19" x14ac:dyDescent="0.25">
      <c r="A39" t="s">
        <v>47</v>
      </c>
      <c r="B39" s="3">
        <v>1</v>
      </c>
      <c r="C39" s="3">
        <v>0</v>
      </c>
      <c r="D39" s="3" t="str">
        <f>ROUND(B39,2) &amp; " ± " &amp; ROUND(C39,2)</f>
        <v>1 ± 0</v>
      </c>
      <c r="E39" s="3">
        <v>1</v>
      </c>
      <c r="F39" s="3">
        <v>0</v>
      </c>
      <c r="G39" s="3" t="str">
        <f>ROUND(E39,2) &amp; " ± " &amp; ROUND(F39,2)</f>
        <v>1 ± 0</v>
      </c>
      <c r="H39" s="3">
        <v>15</v>
      </c>
      <c r="I39" s="3">
        <v>0</v>
      </c>
      <c r="J39" s="3" t="str">
        <f>ROUND(H39,2) &amp; " ± " &amp; ROUND(I39,2)</f>
        <v>15 ± 0</v>
      </c>
      <c r="K39" s="3">
        <v>15</v>
      </c>
      <c r="L39" s="3">
        <v>0</v>
      </c>
      <c r="M39" s="3" t="str">
        <f>ROUND(K39,2) &amp; " ± " &amp; ROUND(L39,2)</f>
        <v>15 ± 0</v>
      </c>
      <c r="N39" s="3">
        <v>105</v>
      </c>
      <c r="O39" s="3">
        <v>0</v>
      </c>
      <c r="P39" s="3" t="str">
        <f>ROUND(N39,2) &amp; " ± " &amp; ROUND(O39,2)</f>
        <v>105 ± 0</v>
      </c>
      <c r="Q39" s="3">
        <v>105</v>
      </c>
      <c r="R39" s="3">
        <v>0</v>
      </c>
      <c r="S39" s="3" t="str">
        <f>ROUND(Q39,2) &amp; " ± " &amp; ROUND(R39,2)</f>
        <v>105 ± 0</v>
      </c>
    </row>
    <row r="40" spans="1:19" x14ac:dyDescent="0.25">
      <c r="A40" t="s">
        <v>48</v>
      </c>
      <c r="B40" s="3">
        <v>1.7</v>
      </c>
      <c r="C40" s="3">
        <v>0.45825756949558399</v>
      </c>
      <c r="D40" s="3" t="str">
        <f>ROUND(B40,2) &amp; " ± " &amp; ROUND(C40,2)</f>
        <v>1.7 ± 0.46</v>
      </c>
      <c r="E40" s="3">
        <v>1.6</v>
      </c>
      <c r="F40" s="3">
        <v>0.4898979485566356</v>
      </c>
      <c r="G40" s="3" t="str">
        <f>ROUND(E40,2) &amp; " ± " &amp; ROUND(F40,2)</f>
        <v>1.6 ± 0.49</v>
      </c>
      <c r="H40" s="3">
        <v>15.2</v>
      </c>
      <c r="I40" s="3">
        <v>0.4</v>
      </c>
      <c r="J40" s="3" t="str">
        <f>ROUND(H40,2) &amp; " ± " &amp; ROUND(I40,2)</f>
        <v>15.2 ± 0.4</v>
      </c>
      <c r="K40" s="3">
        <v>15.2</v>
      </c>
      <c r="L40" s="3">
        <v>0.4</v>
      </c>
      <c r="M40" s="3" t="str">
        <f>ROUND(K40,2) &amp; " ± " &amp; ROUND(L40,2)</f>
        <v>15.2 ± 0.4</v>
      </c>
      <c r="N40" s="3">
        <v>109.5</v>
      </c>
      <c r="O40" s="3">
        <v>6.8738635424337602</v>
      </c>
      <c r="P40" s="3" t="str">
        <f>ROUND(N40,2) &amp; " ± " &amp; ROUND(O40,2)</f>
        <v>109.5 ± 6.87</v>
      </c>
      <c r="Q40" s="3">
        <v>108</v>
      </c>
      <c r="R40" s="3">
        <v>6</v>
      </c>
      <c r="S40" s="3" t="str">
        <f>ROUND(Q40,2) &amp; " ± " &amp; ROUND(R40,2)</f>
        <v>108 ± 6</v>
      </c>
    </row>
    <row r="41" spans="1:19" x14ac:dyDescent="0.25">
      <c r="A41" t="s">
        <v>49</v>
      </c>
      <c r="B41" s="3">
        <v>1.8</v>
      </c>
      <c r="C41" s="3">
        <v>0.4</v>
      </c>
      <c r="D41" s="3" t="str">
        <f>ROUND(B41,2) &amp; " ± " &amp; ROUND(C41,2)</f>
        <v>1.8 ± 0.4</v>
      </c>
      <c r="E41" s="3">
        <v>1.7</v>
      </c>
      <c r="F41" s="3">
        <v>0.45825756949558399</v>
      </c>
      <c r="G41" s="3" t="str">
        <f>ROUND(E41,2) &amp; " ± " &amp; ROUND(F41,2)</f>
        <v>1.7 ± 0.46</v>
      </c>
      <c r="H41" s="3">
        <v>16.399999999999999</v>
      </c>
      <c r="I41" s="3">
        <v>0.4898979485566356</v>
      </c>
      <c r="J41" s="3" t="str">
        <f>ROUND(H41,2) &amp; " ± " &amp; ROUND(I41,2)</f>
        <v>16.4 ± 0.49</v>
      </c>
      <c r="K41" s="3">
        <v>16.399999999999999</v>
      </c>
      <c r="L41" s="3">
        <v>0.4898979485566356</v>
      </c>
      <c r="M41" s="3" t="str">
        <f>ROUND(K41,2) &amp; " ± " &amp; ROUND(L41,2)</f>
        <v>16.4 ± 0.49</v>
      </c>
      <c r="N41" s="3">
        <v>124.8</v>
      </c>
      <c r="O41" s="3">
        <v>7.3321211119293439</v>
      </c>
      <c r="P41" s="3" t="str">
        <f>ROUND(N41,2) &amp; " ± " &amp; ROUND(O41,2)</f>
        <v>124.8 ± 7.33</v>
      </c>
      <c r="Q41" s="3">
        <v>124.8</v>
      </c>
      <c r="R41" s="3">
        <v>7.3321211119293439</v>
      </c>
      <c r="S41" s="3" t="str">
        <f>ROUND(Q41,2) &amp; " ± " &amp; ROUND(R41,2)</f>
        <v>124.8 ± 7.33</v>
      </c>
    </row>
    <row r="42" spans="1:19" x14ac:dyDescent="0.25">
      <c r="A42" t="s">
        <v>50</v>
      </c>
      <c r="B42" s="3">
        <v>1</v>
      </c>
      <c r="C42" s="3">
        <v>0</v>
      </c>
      <c r="D42" s="3" t="str">
        <f>ROUND(B42,2) &amp; " ± " &amp; ROUND(C42,2)</f>
        <v>1 ± 0</v>
      </c>
      <c r="E42" s="3">
        <v>1</v>
      </c>
      <c r="F42" s="3">
        <v>0</v>
      </c>
      <c r="G42" s="3" t="str">
        <f>ROUND(E42,2) &amp; " ± " &amp; ROUND(F42,2)</f>
        <v>1 ± 0</v>
      </c>
      <c r="H42" s="3">
        <v>18</v>
      </c>
      <c r="I42" s="3">
        <v>0</v>
      </c>
      <c r="J42" s="3" t="str">
        <f>ROUND(H42,2) &amp; " ± " &amp; ROUND(I42,2)</f>
        <v>18 ± 0</v>
      </c>
      <c r="K42" s="3">
        <v>18</v>
      </c>
      <c r="L42" s="3">
        <v>0</v>
      </c>
      <c r="M42" s="3" t="str">
        <f>ROUND(K42,2) &amp; " ± " &amp; ROUND(L42,2)</f>
        <v>18 ± 0</v>
      </c>
      <c r="N42" s="3">
        <v>153</v>
      </c>
      <c r="O42" s="3">
        <v>0</v>
      </c>
      <c r="P42" s="3" t="str">
        <f>ROUND(N42,2) &amp; " ± " &amp; ROUND(O42,2)</f>
        <v>153 ± 0</v>
      </c>
      <c r="Q42" s="3">
        <v>153</v>
      </c>
      <c r="R42" s="3">
        <v>0</v>
      </c>
      <c r="S42" s="3" t="str">
        <f>ROUND(Q42,2) &amp; " ± " &amp; ROUND(R42,2)</f>
        <v>153 ± 0</v>
      </c>
    </row>
    <row r="43" spans="1:19" x14ac:dyDescent="0.25">
      <c r="A43" t="s">
        <v>51</v>
      </c>
      <c r="B43" s="3">
        <v>1</v>
      </c>
      <c r="C43" s="3">
        <v>0</v>
      </c>
      <c r="D43" s="3" t="str">
        <f>ROUND(B43,2) &amp; " ± " &amp; ROUND(C43,2)</f>
        <v>1 ± 0</v>
      </c>
      <c r="E43" s="3">
        <v>1</v>
      </c>
      <c r="F43" s="3">
        <v>0</v>
      </c>
      <c r="G43" s="3" t="str">
        <f>ROUND(E43,2) &amp; " ± " &amp; ROUND(F43,2)</f>
        <v>1 ± 0</v>
      </c>
      <c r="H43" s="3">
        <v>19</v>
      </c>
      <c r="I43" s="3">
        <v>0</v>
      </c>
      <c r="J43" s="3" t="str">
        <f>ROUND(H43,2) &amp; " ± " &amp; ROUND(I43,2)</f>
        <v>19 ± 0</v>
      </c>
      <c r="K43" s="3">
        <v>19</v>
      </c>
      <c r="L43" s="3">
        <v>0</v>
      </c>
      <c r="M43" s="3" t="str">
        <f>ROUND(K43,2) &amp; " ± " &amp; ROUND(L43,2)</f>
        <v>19 ± 0</v>
      </c>
      <c r="N43" s="3">
        <v>171</v>
      </c>
      <c r="O43" s="3">
        <v>0</v>
      </c>
      <c r="P43" s="3" t="str">
        <f>ROUND(N43,2) &amp; " ± " &amp; ROUND(O43,2)</f>
        <v>171 ± 0</v>
      </c>
      <c r="Q43" s="3">
        <v>171</v>
      </c>
      <c r="R43" s="3">
        <v>0</v>
      </c>
      <c r="S43" s="3" t="str">
        <f>ROUND(Q43,2) &amp; " ± " &amp; ROUND(R43,2)</f>
        <v>171 ± 0</v>
      </c>
    </row>
    <row r="44" spans="1:19" x14ac:dyDescent="0.25">
      <c r="A44" t="s">
        <v>52</v>
      </c>
      <c r="B44" s="3">
        <v>1</v>
      </c>
      <c r="C44" s="3">
        <v>0</v>
      </c>
      <c r="D44" s="3" t="str">
        <f>ROUND(B44,2) &amp; " ± " &amp; ROUND(C44,2)</f>
        <v>1 ± 0</v>
      </c>
      <c r="E44" s="3">
        <v>1.7</v>
      </c>
      <c r="F44" s="3">
        <v>0.45825756949558399</v>
      </c>
      <c r="G44" s="3" t="str">
        <f>ROUND(E44,2) &amp; " ± " &amp; ROUND(F44,2)</f>
        <v>1.7 ± 0.46</v>
      </c>
      <c r="H44" s="3">
        <v>19</v>
      </c>
      <c r="I44" s="3">
        <v>0</v>
      </c>
      <c r="J44" s="3" t="str">
        <f>ROUND(H44,2) &amp; " ± " &amp; ROUND(I44,2)</f>
        <v>19 ± 0</v>
      </c>
      <c r="K44" s="3">
        <v>18.2</v>
      </c>
      <c r="L44" s="3">
        <v>0.4</v>
      </c>
      <c r="M44" s="3" t="str">
        <f>ROUND(K44,2) &amp; " ± " &amp; ROUND(L44,2)</f>
        <v>18.2 ± 0.4</v>
      </c>
      <c r="N44" s="3">
        <v>171</v>
      </c>
      <c r="O44" s="3">
        <v>0</v>
      </c>
      <c r="P44" s="3" t="str">
        <f>ROUND(N44,2) &amp; " ± " &amp; ROUND(O44,2)</f>
        <v>171 ± 0</v>
      </c>
      <c r="Q44" s="3">
        <v>156.6</v>
      </c>
      <c r="R44" s="3">
        <v>7.2</v>
      </c>
      <c r="S44" s="3" t="str">
        <f>ROUND(Q44,2) &amp; " ± " &amp; ROUND(R44,2)</f>
        <v>156.6 ± 7.2</v>
      </c>
    </row>
    <row r="45" spans="1:19" x14ac:dyDescent="0.25">
      <c r="A45" t="s">
        <v>53</v>
      </c>
      <c r="B45" s="3">
        <v>1.9</v>
      </c>
      <c r="C45" s="3">
        <v>0.3</v>
      </c>
      <c r="D45" s="3" t="str">
        <f>ROUND(B45,2) &amp; " ± " &amp; ROUND(C45,2)</f>
        <v>1.9 ± 0.3</v>
      </c>
      <c r="E45" s="3">
        <v>1.4</v>
      </c>
      <c r="F45" s="3">
        <v>0.4898979485566356</v>
      </c>
      <c r="G45" s="3" t="str">
        <f>ROUND(E45,2) &amp; " ± " &amp; ROUND(F45,2)</f>
        <v>1.4 ± 0.49</v>
      </c>
      <c r="H45" s="3">
        <v>19.2</v>
      </c>
      <c r="I45" s="3">
        <v>0.4</v>
      </c>
      <c r="J45" s="3" t="str">
        <f>ROUND(H45,2) &amp; " ± " &amp; ROUND(I45,2)</f>
        <v>19.2 ± 0.4</v>
      </c>
      <c r="K45" s="3">
        <v>19.399999999999999</v>
      </c>
      <c r="L45" s="3">
        <v>0.4898979485566356</v>
      </c>
      <c r="M45" s="3" t="str">
        <f>ROUND(K45,2) &amp; " ± " &amp; ROUND(L45,2)</f>
        <v>19.4 ± 0.49</v>
      </c>
      <c r="N45" s="3">
        <v>176.7</v>
      </c>
      <c r="O45" s="3">
        <v>8.7068938204160968</v>
      </c>
      <c r="P45" s="3" t="str">
        <f>ROUND(N45,2) &amp; " ± " &amp; ROUND(O45,2)</f>
        <v>176.7 ± 8.71</v>
      </c>
      <c r="Q45" s="3">
        <v>171</v>
      </c>
      <c r="R45" s="3">
        <v>0</v>
      </c>
      <c r="S45" s="3" t="str">
        <f>ROUND(Q45,2) &amp; " ± " &amp; ROUND(R45,2)</f>
        <v>171 ± 0</v>
      </c>
    </row>
    <row r="46" spans="1:19" x14ac:dyDescent="0.25">
      <c r="A46" t="s">
        <v>54</v>
      </c>
      <c r="B46" s="3">
        <v>1.6</v>
      </c>
      <c r="C46" s="3">
        <v>0.4898979485566356</v>
      </c>
      <c r="D46" s="3" t="str">
        <f>ROUND(B46,2) &amp; " ± " &amp; ROUND(C46,2)</f>
        <v>1.6 ± 0.49</v>
      </c>
      <c r="E46" s="3">
        <v>1.3</v>
      </c>
      <c r="F46" s="3">
        <v>0.45825756949558399</v>
      </c>
      <c r="G46" s="3" t="str">
        <f>ROUND(E46,2) &amp; " ± " &amp; ROUND(F46,2)</f>
        <v>1.3 ± 0.46</v>
      </c>
      <c r="H46" s="3">
        <v>20.3</v>
      </c>
      <c r="I46" s="3">
        <v>0.6403124237432849</v>
      </c>
      <c r="J46" s="3" t="str">
        <f>ROUND(H46,2) &amp; " ± " &amp; ROUND(I46,2)</f>
        <v>20.3 ± 0.64</v>
      </c>
      <c r="K46" s="3">
        <v>20.6</v>
      </c>
      <c r="L46" s="3">
        <v>0.66332495807107994</v>
      </c>
      <c r="M46" s="3" t="str">
        <f>ROUND(K46,2) &amp; " ± " &amp; ROUND(L46,2)</f>
        <v>20.6 ± 0.66</v>
      </c>
      <c r="N46" s="3">
        <v>196.2</v>
      </c>
      <c r="O46" s="3">
        <v>12.40806189539688</v>
      </c>
      <c r="P46" s="3" t="str">
        <f>ROUND(N46,2) &amp; " ± " &amp; ROUND(O46,2)</f>
        <v>196.2 ± 12.41</v>
      </c>
      <c r="Q46" s="3">
        <v>196.2</v>
      </c>
      <c r="R46" s="3">
        <v>12.40806189539688</v>
      </c>
      <c r="S46" s="3" t="str">
        <f>ROUND(Q46,2) &amp; " ± " &amp; ROUND(R46,2)</f>
        <v>196.2 ± 12.41</v>
      </c>
    </row>
    <row r="47" spans="1:19" x14ac:dyDescent="0.25">
      <c r="A47" t="s">
        <v>55</v>
      </c>
      <c r="B47" s="3">
        <v>1</v>
      </c>
      <c r="C47" s="3">
        <v>0</v>
      </c>
      <c r="D47" s="3" t="str">
        <f>ROUND(B47,2) &amp; " ± " &amp; ROUND(C47,2)</f>
        <v>1 ± 0</v>
      </c>
      <c r="E47" s="3">
        <v>1</v>
      </c>
      <c r="F47" s="3">
        <v>0</v>
      </c>
      <c r="G47" s="3" t="str">
        <f>ROUND(E47,2) &amp; " ± " &amp; ROUND(F47,2)</f>
        <v>1 ± 0</v>
      </c>
      <c r="H47" s="3">
        <v>22</v>
      </c>
      <c r="I47" s="3">
        <v>0</v>
      </c>
      <c r="J47" s="3" t="str">
        <f>ROUND(H47,2) &amp; " ± " &amp; ROUND(I47,2)</f>
        <v>22 ± 0</v>
      </c>
      <c r="K47" s="3">
        <v>22</v>
      </c>
      <c r="L47" s="3">
        <v>0</v>
      </c>
      <c r="M47" s="3" t="str">
        <f>ROUND(K47,2) &amp; " ± " &amp; ROUND(L47,2)</f>
        <v>22 ± 0</v>
      </c>
      <c r="N47" s="3">
        <v>231</v>
      </c>
      <c r="O47" s="3">
        <v>0</v>
      </c>
      <c r="P47" s="3" t="str">
        <f>ROUND(N47,2) &amp; " ± " &amp; ROUND(O47,2)</f>
        <v>231 ± 0</v>
      </c>
      <c r="Q47" s="3">
        <v>231</v>
      </c>
      <c r="R47" s="3">
        <v>0</v>
      </c>
      <c r="S47" s="3" t="str">
        <f>ROUND(Q47,2) &amp; " ± " &amp; ROUND(R47,2)</f>
        <v>231 ± 0</v>
      </c>
    </row>
    <row r="48" spans="1:19" x14ac:dyDescent="0.25">
      <c r="A48" t="s">
        <v>56</v>
      </c>
      <c r="B48" s="3">
        <v>1.5</v>
      </c>
      <c r="C48" s="3">
        <v>0.5</v>
      </c>
      <c r="D48" s="3" t="str">
        <f>ROUND(B48,2) &amp; " ± " &amp; ROUND(C48,2)</f>
        <v>1.5 ± 0.5</v>
      </c>
      <c r="E48" s="3">
        <v>1.9</v>
      </c>
      <c r="F48" s="3">
        <v>0.3</v>
      </c>
      <c r="G48" s="3" t="str">
        <f>ROUND(E48,2) &amp; " ± " &amp; ROUND(F48,2)</f>
        <v>1.9 ± 0.3</v>
      </c>
      <c r="H48" s="3">
        <v>22.3</v>
      </c>
      <c r="I48" s="3">
        <v>0.45825756949558399</v>
      </c>
      <c r="J48" s="3" t="str">
        <f>ROUND(H48,2) &amp; " ± " &amp; ROUND(I48,2)</f>
        <v>22.3 ± 0.46</v>
      </c>
      <c r="K48" s="3">
        <v>22.1</v>
      </c>
      <c r="L48" s="3">
        <v>0.3</v>
      </c>
      <c r="M48" s="3" t="str">
        <f>ROUND(K48,2) &amp; " ± " &amp; ROUND(L48,2)</f>
        <v>22.1 ± 0.3</v>
      </c>
      <c r="N48" s="3">
        <v>235.4</v>
      </c>
      <c r="O48" s="3">
        <v>8.8000000000000007</v>
      </c>
      <c r="P48" s="3" t="str">
        <f>ROUND(N48,2) &amp; " ± " &amp; ROUND(O48,2)</f>
        <v>235.4 ± 8.8</v>
      </c>
      <c r="Q48" s="3">
        <v>235.4</v>
      </c>
      <c r="R48" s="3">
        <v>8.8000000000000007</v>
      </c>
      <c r="S48" s="3" t="str">
        <f>ROUND(Q48,2) &amp; " ± " &amp; ROUND(R48,2)</f>
        <v>235.4 ± 8.8</v>
      </c>
    </row>
    <row r="49" spans="1:19" x14ac:dyDescent="0.25">
      <c r="A49" t="s">
        <v>57</v>
      </c>
      <c r="B49" s="3">
        <v>1</v>
      </c>
      <c r="C49" s="3">
        <v>0</v>
      </c>
      <c r="D49" s="3" t="str">
        <f>ROUND(B49,2) &amp; " ± " &amp; ROUND(C49,2)</f>
        <v>1 ± 0</v>
      </c>
      <c r="E49" s="3">
        <v>1</v>
      </c>
      <c r="F49" s="3">
        <v>0</v>
      </c>
      <c r="G49" s="3" t="str">
        <f>ROUND(E49,2) &amp; " ± " &amp; ROUND(F49,2)</f>
        <v>1 ± 0</v>
      </c>
      <c r="H49" s="3">
        <v>24</v>
      </c>
      <c r="I49" s="3">
        <v>0</v>
      </c>
      <c r="J49" s="3" t="str">
        <f>ROUND(H49,2) &amp; " ± " &amp; ROUND(I49,2)</f>
        <v>24 ± 0</v>
      </c>
      <c r="K49" s="3">
        <v>24</v>
      </c>
      <c r="L49" s="3">
        <v>0</v>
      </c>
      <c r="M49" s="3" t="str">
        <f>ROUND(K49,2) &amp; " ± " &amp; ROUND(L49,2)</f>
        <v>24 ± 0</v>
      </c>
      <c r="N49" s="3">
        <v>276</v>
      </c>
      <c r="O49" s="3">
        <v>0</v>
      </c>
      <c r="P49" s="3" t="str">
        <f>ROUND(N49,2) &amp; " ± " &amp; ROUND(O49,2)</f>
        <v>276 ± 0</v>
      </c>
      <c r="Q49" s="3">
        <v>276</v>
      </c>
      <c r="R49" s="3">
        <v>0</v>
      </c>
      <c r="S49" s="3" t="str">
        <f>ROUND(Q49,2) &amp; " ± " &amp; ROUND(R49,2)</f>
        <v>276 ± 0</v>
      </c>
    </row>
    <row r="50" spans="1:19" x14ac:dyDescent="0.25">
      <c r="A50" t="s">
        <v>58</v>
      </c>
      <c r="B50" s="3">
        <v>1</v>
      </c>
      <c r="C50" s="3">
        <v>0</v>
      </c>
      <c r="D50" s="3" t="str">
        <f>ROUND(B50,2) &amp; " ± " &amp; ROUND(C50,2)</f>
        <v>1 ± 0</v>
      </c>
      <c r="E50" s="3">
        <v>1</v>
      </c>
      <c r="F50" s="3">
        <v>0</v>
      </c>
      <c r="G50" s="3" t="str">
        <f>ROUND(E50,2) &amp; " ± " &amp; ROUND(F50,2)</f>
        <v>1 ± 0</v>
      </c>
      <c r="H50" s="3">
        <v>25</v>
      </c>
      <c r="I50" s="3">
        <v>0</v>
      </c>
      <c r="J50" s="3" t="str">
        <f>ROUND(H50,2) &amp; " ± " &amp; ROUND(I50,2)</f>
        <v>25 ± 0</v>
      </c>
      <c r="K50" s="3">
        <v>25</v>
      </c>
      <c r="L50" s="3">
        <v>0</v>
      </c>
      <c r="M50" s="3" t="str">
        <f>ROUND(K50,2) &amp; " ± " &amp; ROUND(L50,2)</f>
        <v>25 ± 0</v>
      </c>
      <c r="N50" s="3">
        <v>300</v>
      </c>
      <c r="O50" s="3">
        <v>0</v>
      </c>
      <c r="P50" s="3" t="str">
        <f>ROUND(N50,2) &amp; " ± " &amp; ROUND(O50,2)</f>
        <v>300 ± 0</v>
      </c>
      <c r="Q50" s="3">
        <v>300</v>
      </c>
      <c r="R50" s="3">
        <v>0</v>
      </c>
      <c r="S50" s="3" t="str">
        <f>ROUND(Q50,2) &amp; " ± " &amp; ROUND(R50,2)</f>
        <v>300 ± 0</v>
      </c>
    </row>
    <row r="51" spans="1:19" x14ac:dyDescent="0.25">
      <c r="A51" t="s">
        <v>59</v>
      </c>
      <c r="B51" s="3">
        <v>1</v>
      </c>
      <c r="C51" s="3">
        <v>0</v>
      </c>
      <c r="D51" s="3" t="str">
        <f>ROUND(B51,2) &amp; " ± " &amp; ROUND(C51,2)</f>
        <v>1 ± 0</v>
      </c>
      <c r="E51" s="3">
        <v>1.4</v>
      </c>
      <c r="F51" s="3">
        <v>0.4898979485566356</v>
      </c>
      <c r="G51" s="3" t="str">
        <f>ROUND(E51,2) &amp; " ± " &amp; ROUND(F51,2)</f>
        <v>1.4 ± 0.49</v>
      </c>
      <c r="H51" s="3">
        <v>26</v>
      </c>
      <c r="I51" s="3">
        <v>0</v>
      </c>
      <c r="J51" s="3" t="str">
        <f>ROUND(H51,2) &amp; " ± " &amp; ROUND(I51,2)</f>
        <v>26 ± 0</v>
      </c>
      <c r="K51" s="3">
        <v>25.9</v>
      </c>
      <c r="L51" s="3">
        <v>0.3</v>
      </c>
      <c r="M51" s="3" t="str">
        <f>ROUND(K51,2) &amp; " ± " &amp; ROUND(L51,2)</f>
        <v>25.9 ± 0.3</v>
      </c>
      <c r="N51" s="3">
        <v>320</v>
      </c>
      <c r="O51" s="3">
        <v>10</v>
      </c>
      <c r="P51" s="3" t="str">
        <f>ROUND(N51,2) &amp; " ± " &amp; ROUND(O51,2)</f>
        <v>320 ± 10</v>
      </c>
      <c r="Q51" s="3">
        <v>322.5</v>
      </c>
      <c r="R51" s="3">
        <v>7.5</v>
      </c>
      <c r="S51" s="3" t="str">
        <f>ROUND(Q51,2) &amp; " ± " &amp; ROUND(R51,2)</f>
        <v>322.5 ± 7.5</v>
      </c>
    </row>
    <row r="52" spans="1:19" x14ac:dyDescent="0.25">
      <c r="A52" t="s">
        <v>60</v>
      </c>
      <c r="B52" s="3">
        <v>1</v>
      </c>
      <c r="C52" s="3">
        <v>0</v>
      </c>
      <c r="D52" s="3" t="str">
        <f>ROUND(B52,2) &amp; " ± " &amp; ROUND(C52,2)</f>
        <v>1 ± 0</v>
      </c>
      <c r="E52" s="3">
        <v>1.1000000000000001</v>
      </c>
      <c r="F52" s="3">
        <v>0.3</v>
      </c>
      <c r="G52" s="3" t="str">
        <f>ROUND(E52,2) &amp; " ± " &amp; ROUND(F52,2)</f>
        <v>1.1 ± 0.3</v>
      </c>
      <c r="H52" s="3">
        <v>27</v>
      </c>
      <c r="I52" s="3">
        <v>0</v>
      </c>
      <c r="J52" s="3" t="str">
        <f>ROUND(H52,2) &amp; " ± " &amp; ROUND(I52,2)</f>
        <v>27 ± 0</v>
      </c>
      <c r="K52" s="3">
        <v>27</v>
      </c>
      <c r="L52" s="3">
        <v>0</v>
      </c>
      <c r="M52" s="3" t="str">
        <f>ROUND(K52,2) &amp; " ± " &amp; ROUND(L52,2)</f>
        <v>27 ± 0</v>
      </c>
      <c r="N52" s="3">
        <v>351</v>
      </c>
      <c r="O52" s="3">
        <v>0</v>
      </c>
      <c r="P52" s="3" t="str">
        <f>ROUND(N52,2) &amp; " ± " &amp; ROUND(O52,2)</f>
        <v>351 ± 0</v>
      </c>
      <c r="Q52" s="3">
        <v>351</v>
      </c>
      <c r="R52" s="3">
        <v>0</v>
      </c>
      <c r="S52" s="3" t="str">
        <f>ROUND(Q52,2) &amp; " ± " &amp; ROUND(R52,2)</f>
        <v>351 ± 0</v>
      </c>
    </row>
    <row r="53" spans="1:19" x14ac:dyDescent="0.25">
      <c r="A53" t="s">
        <v>61</v>
      </c>
      <c r="B53" s="3">
        <v>1</v>
      </c>
      <c r="C53" s="3">
        <v>0</v>
      </c>
      <c r="D53" s="3" t="str">
        <f>ROUND(B53,2) &amp; " ± " &amp; ROUND(C53,2)</f>
        <v>1 ± 0</v>
      </c>
      <c r="E53" s="3">
        <v>1</v>
      </c>
      <c r="F53" s="3">
        <v>0</v>
      </c>
      <c r="G53" s="3" t="str">
        <f>ROUND(E53,2) &amp; " ± " &amp; ROUND(F53,2)</f>
        <v>1 ± 0</v>
      </c>
      <c r="H53" s="3">
        <v>28</v>
      </c>
      <c r="I53" s="3">
        <v>0</v>
      </c>
      <c r="J53" s="3" t="str">
        <f>ROUND(H53,2) &amp; " ± " &amp; ROUND(I53,2)</f>
        <v>28 ± 0</v>
      </c>
      <c r="K53" s="3">
        <v>28</v>
      </c>
      <c r="L53" s="3">
        <v>0</v>
      </c>
      <c r="M53" s="3" t="str">
        <f>ROUND(K53,2) &amp; " ± " &amp; ROUND(L53,2)</f>
        <v>28 ± 0</v>
      </c>
      <c r="N53" s="3">
        <v>378</v>
      </c>
      <c r="O53" s="3">
        <v>0</v>
      </c>
      <c r="P53" s="3" t="str">
        <f>ROUND(N53,2) &amp; " ± " &amp; ROUND(O53,2)</f>
        <v>378 ± 0</v>
      </c>
      <c r="Q53" s="3">
        <v>378</v>
      </c>
      <c r="R53" s="3">
        <v>0</v>
      </c>
      <c r="S53" s="3" t="str">
        <f>ROUND(Q53,2) &amp; " ± " &amp; ROUND(R53,2)</f>
        <v>378 ± 0</v>
      </c>
    </row>
    <row r="54" spans="1:19" x14ac:dyDescent="0.25">
      <c r="A54" t="s">
        <v>62</v>
      </c>
      <c r="B54" s="3">
        <v>1</v>
      </c>
      <c r="C54" s="3">
        <v>0</v>
      </c>
      <c r="D54" s="3" t="str">
        <f>ROUND(B54,2) &amp; " ± " &amp; ROUND(C54,2)</f>
        <v>1 ± 0</v>
      </c>
      <c r="E54" s="3">
        <v>1</v>
      </c>
      <c r="F54" s="3">
        <v>0</v>
      </c>
      <c r="G54" s="3" t="str">
        <f>ROUND(E54,2) &amp; " ± " &amp; ROUND(F54,2)</f>
        <v>1 ± 0</v>
      </c>
      <c r="H54" s="3">
        <v>29</v>
      </c>
      <c r="I54" s="3">
        <v>0</v>
      </c>
      <c r="J54" s="3" t="str">
        <f>ROUND(H54,2) &amp; " ± " &amp; ROUND(I54,2)</f>
        <v>29 ± 0</v>
      </c>
      <c r="K54" s="3">
        <v>29</v>
      </c>
      <c r="L54" s="3">
        <v>0</v>
      </c>
      <c r="M54" s="3" t="str">
        <f>ROUND(K54,2) &amp; " ± " &amp; ROUND(L54,2)</f>
        <v>29 ± 0</v>
      </c>
      <c r="N54" s="3">
        <v>406</v>
      </c>
      <c r="O54" s="3">
        <v>0</v>
      </c>
      <c r="P54" s="3" t="str">
        <f>ROUND(N54,2) &amp; " ± " &amp; ROUND(O54,2)</f>
        <v>406 ± 0</v>
      </c>
      <c r="Q54" s="3">
        <v>406</v>
      </c>
      <c r="R54" s="3">
        <v>0</v>
      </c>
      <c r="S54" s="3" t="str">
        <f>ROUND(Q54,2) &amp; " ± " &amp; ROUND(R54,2)</f>
        <v>406 ± 0</v>
      </c>
    </row>
    <row r="55" spans="1:19" x14ac:dyDescent="0.25">
      <c r="A55" t="s">
        <v>63</v>
      </c>
      <c r="B55" s="3">
        <v>3.5254901960784313</v>
      </c>
      <c r="C55" s="3">
        <v>4.6554140161395514</v>
      </c>
      <c r="D55" s="3" t="str">
        <f>ROUND(B55,2) &amp; " ± " &amp; ROUND(C55,2)</f>
        <v>3.53 ± 4.66</v>
      </c>
      <c r="E55" s="3">
        <v>3.5980392156862746</v>
      </c>
      <c r="F55" s="3">
        <v>4.924647501910159</v>
      </c>
      <c r="G55" s="3" t="str">
        <f>ROUND(E55,2) &amp; " ± " &amp; ROUND(F55,2)</f>
        <v>3.6 ± 4.92</v>
      </c>
      <c r="H55" s="3">
        <v>66.750980392156862</v>
      </c>
      <c r="I55" s="3">
        <v>86.5022200158255</v>
      </c>
      <c r="J55" s="3" t="str">
        <f>ROUND(H55,2) &amp; " ± " &amp; ROUND(I55,2)</f>
        <v>66.75 ± 86.5</v>
      </c>
      <c r="K55" s="3">
        <v>66.786274509803917</v>
      </c>
      <c r="L55" s="3">
        <v>86.738594254112428</v>
      </c>
      <c r="M55" s="3" t="str">
        <f>ROUND(K55,2) &amp; " ± " &amp; ROUND(L55,2)</f>
        <v>66.79 ± 86.74</v>
      </c>
      <c r="N55" s="3">
        <v>5986.7882352941178</v>
      </c>
      <c r="O55" s="3">
        <v>14476.006265753553</v>
      </c>
      <c r="P55" s="3" t="str">
        <f>ROUND(N55,2) &amp; " ± " &amp; ROUND(O55,2)</f>
        <v>5986.79 ± 14476.01</v>
      </c>
      <c r="Q55" s="3">
        <v>5966.0019607843142</v>
      </c>
      <c r="R55" s="3">
        <v>14382.695336655608</v>
      </c>
      <c r="S55" s="3" t="str">
        <f>ROUND(Q55,2) &amp; " ± " &amp; ROUND(R55,2)</f>
        <v>5966 ± 14382.7</v>
      </c>
    </row>
  </sheetData>
  <mergeCells count="10">
    <mergeCell ref="A1:A3"/>
    <mergeCell ref="B1:G1"/>
    <mergeCell ref="H1:M1"/>
    <mergeCell ref="N1:S1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Geza Karoly Vekov</dc:creator>
  <cp:lastModifiedBy>Geza Karoly Vekov</cp:lastModifiedBy>
  <dcterms:created xsi:type="dcterms:W3CDTF">2025-11-07T18:23:59Z</dcterms:created>
  <dcterms:modified xsi:type="dcterms:W3CDTF">2025-11-07T18:25:04Z</dcterms:modified>
</cp:coreProperties>
</file>